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84" windowHeight="9635"/>
  </bookViews>
  <sheets>
    <sheet name="人身保险公司（月度）  " sheetId="1" r:id="rId1"/>
  </sheets>
  <definedNames>
    <definedName name="_xlnm.Print_Area" localSheetId="0">'人身保险公司（月度）  '!$A$1:$C$29</definedName>
  </definedNames>
  <calcPr calcId="144525"/>
</workbook>
</file>

<file path=xl/sharedStrings.xml><?xml version="1.0" encoding="utf-8"?>
<sst xmlns="http://schemas.openxmlformats.org/spreadsheetml/2006/main" count="25">
  <si>
    <t xml:space="preserve"> </t>
  </si>
  <si>
    <t>2021年10月人身险公司经营情况表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</si>
  <si>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</si>
  <si>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</si>
  <si>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</si>
  <si>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</si>
  <si>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</si>
  <si>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</si>
  <si>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</si>
  <si>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</si>
  <si>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</si>
  <si>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</si>
  <si>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</si>
  <si>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</si>
  <si>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</si>
  <si>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</si>
  <si>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</si>
  <si>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</si>
  <si>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</si>
  <si>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</si>
  <si>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4、原保险保费收入、原保险赔付支出、新增保险金额、新增保单件数为本年累计数，总资产为月末数据。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</si>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</sst>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5" fillId="0" borderId="0">
      <alignment horizontal="left" vertical="center"/>
    </xf>
    <xf numFmtId="0" fontId="13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5" fillId="0" borderId="0">
      <alignment horizontal="left" vertical="center"/>
    </xf>
    <xf numFmtId="0" fontId="26" fillId="0" borderId="0"/>
  </cellStyleXfs>
  <cellXfs count="14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 applyAlignment="1">
      <alignment horizontal="right" vertical="center"/>
    </xf>
    <xf numFmtId="0" fontId="3" fillId="0" borderId="1" xfId="51" applyFont="1" applyFill="1" applyBorder="1" applyAlignment="1">
      <alignment horizontal="right" wrapText="1"/>
    </xf>
    <xf numFmtId="0" fontId="2" fillId="0" borderId="2" xfId="50" applyFont="1" applyFill="1" applyBorder="1" applyAlignment="1">
      <alignment horizontal="center" vertical="center"/>
    </xf>
    <xf numFmtId="0" fontId="1" fillId="0" borderId="2" xfId="50" applyFont="1" applyFill="1" applyBorder="1">
      <alignment horizontal="left" vertical="center"/>
    </xf>
    <xf numFmtId="176" fontId="4" fillId="0" borderId="2" xfId="50" applyNumberFormat="1" applyFont="1" applyFill="1" applyBorder="1" applyAlignment="1">
      <alignment horizontal="right" vertical="center"/>
    </xf>
    <xf numFmtId="176" fontId="1" fillId="0" borderId="2" xfId="50" applyNumberFormat="1" applyFont="1" applyFill="1" applyBorder="1" applyAlignment="1">
      <alignment horizontal="right" vertical="center"/>
    </xf>
    <xf numFmtId="0" fontId="5" fillId="0" borderId="0" xfId="51" applyFont="1" applyFill="1" applyAlignment="1">
      <alignment horizontal="left" wrapText="1"/>
    </xf>
    <xf numFmtId="0" fontId="5" fillId="0" borderId="0" xfId="51" applyFont="1" applyFill="1" applyAlignment="1">
      <alignment horizontal="left" vertical="top" wrapText="1"/>
    </xf>
    <xf numFmtId="0" fontId="5" fillId="0" borderId="0" xfId="51" applyFont="1" applyFill="1" applyAlignment="1">
      <alignment horizontal="left"/>
    </xf>
    <xf numFmtId="0" fontId="5" fillId="0" borderId="0" xfId="51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241548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9"/>
  <sheetViews>
    <sheetView showGridLines="0" tabSelected="1" view="pageBreakPreview" zoomScale="70" zoomScaleNormal="100" zoomScaleSheetLayoutView="70" workbookViewId="0">
      <selection activeCell="F8" sqref="F8"/>
    </sheetView>
  </sheetViews>
  <sheetFormatPr defaultColWidth="9" defaultRowHeight="20.45" customHeight="1" outlineLevelCol="2"/>
  <cols>
    <col min="1" max="1" width="0.87962962962963" style="1" customWidth="1"/>
    <col min="2" max="2" width="54" style="1" customWidth="1"/>
    <col min="3" max="3" width="39.5" style="1" customWidth="1"/>
    <col min="4" max="16384" width="9" style="1"/>
  </cols>
  <sheetData>
    <row r="1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customHeight="1" spans="2:3">
      <c r="B3" s="4" t="s">
        <v>2</v>
      </c>
      <c r="C3" s="5" t="s">
        <v>3</v>
      </c>
    </row>
    <row r="4" customHeight="1" spans="2:3">
      <c r="B4" s="6" t="s">
        <v>4</v>
      </c>
      <c r="C4" s="6" t="s">
        <v>5</v>
      </c>
    </row>
    <row r="5" customHeight="1" spans="2:3">
      <c r="B5" s="7" t="s">
        <v>6</v>
      </c>
      <c r="C5" s="8">
        <f>27654.22</f>
        <v>27654.22</v>
      </c>
    </row>
    <row r="6" customHeight="1" spans="2:3">
      <c r="B6" s="7" t="s">
        <v>7</v>
      </c>
      <c r="C6" s="9">
        <f>20943.63</f>
        <v>20943.63</v>
      </c>
    </row>
    <row r="7" customHeight="1" spans="2:3">
      <c r="B7" s="7" t="s">
        <v>8</v>
      </c>
      <c r="C7" s="9">
        <f>511.82</f>
        <v>511.82</v>
      </c>
    </row>
    <row r="8" customHeight="1" spans="2:3">
      <c r="B8" s="7" t="s">
        <v>9</v>
      </c>
      <c r="C8" s="9">
        <f>6198.77</f>
        <v>6198.77</v>
      </c>
    </row>
    <row r="9" customHeight="1" spans="2:3">
      <c r="B9" s="7" t="s">
        <v>10</v>
      </c>
      <c r="C9" s="9">
        <f>5299.31</f>
        <v>5299.31</v>
      </c>
    </row>
    <row r="10" customHeight="1" spans="2:3">
      <c r="B10" s="7" t="s">
        <v>11</v>
      </c>
      <c r="C10" s="9">
        <f>576.83</f>
        <v>576.83</v>
      </c>
    </row>
    <row r="11" customHeight="1" spans="2:3">
      <c r="B11" s="7" t="s">
        <v>12</v>
      </c>
      <c r="C11" s="9">
        <f>5830.13</f>
        <v>5830.13</v>
      </c>
    </row>
    <row r="12" customHeight="1" spans="2:3">
      <c r="B12" s="7" t="s">
        <v>13</v>
      </c>
      <c r="C12" s="9">
        <f>10975009.66</f>
        <v>10975009.66</v>
      </c>
    </row>
    <row r="13" customHeight="1" spans="2:3">
      <c r="B13" s="7" t="s">
        <v>7</v>
      </c>
      <c r="C13" s="9">
        <f>273694.89</f>
        <v>273694.89</v>
      </c>
    </row>
    <row r="14" customHeight="1" spans="2:3">
      <c r="B14" s="7" t="s">
        <v>8</v>
      </c>
      <c r="C14" s="9">
        <f>2887318.01</f>
        <v>2887318.01</v>
      </c>
    </row>
    <row r="15" customHeight="1" spans="2:3">
      <c r="B15" s="7" t="s">
        <v>9</v>
      </c>
      <c r="C15" s="9">
        <f>7813996.76</f>
        <v>7813996.76</v>
      </c>
    </row>
    <row r="16" customHeight="1" spans="2:3">
      <c r="B16" s="7" t="s">
        <v>14</v>
      </c>
      <c r="C16" s="9">
        <f>81310.93</f>
        <v>81310.93</v>
      </c>
    </row>
    <row r="17" customHeight="1" spans="2:3">
      <c r="B17" s="7" t="s">
        <v>7</v>
      </c>
      <c r="C17" s="9">
        <f>6746.94</f>
        <v>6746.94</v>
      </c>
    </row>
    <row r="18" customHeight="1" spans="2:3">
      <c r="B18" s="7" t="s">
        <v>15</v>
      </c>
      <c r="C18" s="9">
        <f>5691.14</f>
        <v>5691.14</v>
      </c>
    </row>
    <row r="19" customHeight="1" spans="2:3">
      <c r="B19" s="7" t="s">
        <v>8</v>
      </c>
      <c r="C19" s="9">
        <f>36554.01</f>
        <v>36554.01</v>
      </c>
    </row>
    <row r="20" customHeight="1" spans="2:3">
      <c r="B20" s="7" t="s">
        <v>9</v>
      </c>
      <c r="C20" s="9">
        <f>38009.98</f>
        <v>38009.98</v>
      </c>
    </row>
    <row r="21" customHeight="1" spans="2:3">
      <c r="B21" s="7" t="s">
        <v>16</v>
      </c>
      <c r="C21" s="8">
        <f>208520.85</f>
        <v>208520.85</v>
      </c>
    </row>
    <row r="22" ht="73" customHeight="1" spans="2:3">
      <c r="B22" s="10" t="s">
        <v>17</v>
      </c>
      <c r="C22" s="10"/>
    </row>
    <row r="23" ht="57.6" customHeight="1" spans="2:3">
      <c r="B23" s="10" t="s">
        <v>18</v>
      </c>
      <c r="C23" s="10"/>
    </row>
    <row r="24" ht="57.6" customHeight="1" spans="2:3">
      <c r="B24" s="10" t="s">
        <v>19</v>
      </c>
      <c r="C24" s="10"/>
    </row>
    <row r="25" ht="57.6" customHeight="1" spans="2:3">
      <c r="B25" s="10" t="s">
        <v>20</v>
      </c>
      <c r="C25" s="10"/>
    </row>
    <row r="26" ht="90.6" customHeight="1" spans="2:3">
      <c r="B26" s="11" t="s">
        <v>21</v>
      </c>
      <c r="C26" s="11"/>
    </row>
    <row r="27" ht="85.15" customHeight="1" spans="2:3">
      <c r="B27" s="11" t="s">
        <v>22</v>
      </c>
      <c r="C27" s="11"/>
    </row>
    <row r="28" ht="20.4" spans="2:3">
      <c r="B28" s="12" t="s">
        <v>23</v>
      </c>
      <c r="C28" s="13"/>
    </row>
    <row r="29" ht="45" customHeight="1" spans="2:3">
      <c r="B29" s="10" t="s">
        <v>24</v>
      </c>
      <c r="C29" s="10"/>
    </row>
  </sheetData>
  <mergeCells count="8">
    <mergeCell ref="B2:C2"/>
    <mergeCell ref="B22:C22"/>
    <mergeCell ref="B23:C23"/>
    <mergeCell ref="B24:C24"/>
    <mergeCell ref="B25:C25"/>
    <mergeCell ref="B26:C26"/>
    <mergeCell ref="B27:C27"/>
    <mergeCell ref="B29:C29"/>
  </mergeCells>
  <printOptions horizontalCentered="1"/>
  <pageMargins left="0.393055555555556" right="0.235416666666667" top="0" bottom="0" header="0.354166666666667" footer="0.511805555555556"/>
  <pageSetup paperSize="9" scale="8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2021-11-26T09:29:22Z</dcterms:created>
  <dcterms:modified xsi:type="dcterms:W3CDTF">2021-11-26T09:29:28Z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