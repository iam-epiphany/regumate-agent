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4" windowHeight="9972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<sst xmlns="http://schemas.openxmlformats.org/spreadsheetml/2006/main" count="31">
  <si>
    <t xml:space="preserve"> </t>
  </si>
  <si>
    <t>2021年11月财产保险公司经营情况表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</si>
  <si>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</si>
  <si>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</si>
  <si>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</si>
  <si>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</si>
  <si>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</si>
  <si>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</si>
  <si>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</si>
  <si>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</si>
  <si>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</si>
  <si>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</si>
  <si>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</si>
  <si>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</si>
  <si>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</si>
  <si>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</si>
  <si>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</si>
  <si>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</si>
  <si>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</si>
  <si>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</si>
  <si>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</si>
  <si>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</si>
  <si>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</si>
  <si>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</si>
  <si>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</si>
  <si>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</si>
  <si>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</si>
  <si>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>保费收入同比</t>
  </si>
  <si>
    <t xml:space="preserve">    5、因部分机构目前处于风险处置阶段，从2021年6月起，财产保险公司汇总数据口径暂不包含这部分机构。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</si>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</sst>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18" fillId="12" borderId="3" applyNumberFormat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4" fillId="0" borderId="0"/>
    <xf numFmtId="0" fontId="25" fillId="0" borderId="0">
      <alignment horizontal="left" vertical="center"/>
    </xf>
  </cellStyleXfs>
  <cellXfs count="16">
    <xf numFmtId="0" fontId="0" fillId="0" borderId="0" xfId="0">
      <alignment vertical="center"/>
    </xf>
    <xf numFmtId="0" fontId="1" fillId="0" borderId="0" xfId="50" applyFont="1" applyFill="1" applyAlignment="1">
      <alignment horizontal="left" vertical="center"/>
    </xf>
    <xf numFmtId="0" fontId="2" fillId="0" borderId="0" xfId="50" applyFont="1" applyFill="1" applyAlignment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vertical="center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 applyAlignment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10" fontId="2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70" zoomScaleNormal="100" zoomScaleSheetLayoutView="70" workbookViewId="0">
      <selection activeCell="F31" sqref="F31"/>
    </sheetView>
  </sheetViews>
  <sheetFormatPr defaultColWidth="9" defaultRowHeight="20.4"/>
  <cols>
    <col min="1" max="1" width="1.75" style="1" customWidth="1"/>
    <col min="2" max="3" width="50.6296296296296" style="1" customWidth="1"/>
    <col min="4" max="6" width="9" style="1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f>12440.66</f>
        <v>12440.66</v>
      </c>
    </row>
    <row r="6" spans="2:3">
      <c r="B6" s="8" t="s">
        <v>7</v>
      </c>
      <c r="C6" s="9">
        <f>493.55</f>
        <v>493.55</v>
      </c>
    </row>
    <row r="7" spans="2:3">
      <c r="B7" s="8" t="s">
        <v>8</v>
      </c>
      <c r="C7" s="9">
        <f>91.68</f>
        <v>91.68</v>
      </c>
    </row>
    <row r="8" spans="2:3">
      <c r="B8" s="8" t="s">
        <v>9</v>
      </c>
      <c r="C8" s="9">
        <f>6951.22</f>
        <v>6951.22</v>
      </c>
    </row>
    <row r="9" spans="2:3">
      <c r="B9" s="8" t="s">
        <v>10</v>
      </c>
      <c r="C9" s="9">
        <f>137.03</f>
        <v>137.03</v>
      </c>
    </row>
    <row r="10" spans="2:3">
      <c r="B10" s="8" t="s">
        <v>11</v>
      </c>
      <c r="C10" s="9">
        <f>945.15</f>
        <v>945.15</v>
      </c>
    </row>
    <row r="11" spans="2:3">
      <c r="B11" s="8" t="s">
        <v>12</v>
      </c>
      <c r="C11" s="9">
        <f>483.05</f>
        <v>483.05</v>
      </c>
    </row>
    <row r="12" spans="2:3">
      <c r="B12" s="8" t="s">
        <v>13</v>
      </c>
      <c r="C12" s="9">
        <f>922.53</f>
        <v>922.53</v>
      </c>
    </row>
    <row r="13" spans="2:3">
      <c r="B13" s="8" t="s">
        <v>14</v>
      </c>
      <c r="C13" s="9">
        <f>1289.24</f>
        <v>1289.24</v>
      </c>
    </row>
    <row r="14" spans="2:3">
      <c r="B14" s="8" t="s">
        <v>15</v>
      </c>
      <c r="C14" s="9">
        <f>575.96</f>
        <v>575.96</v>
      </c>
    </row>
    <row r="15" spans="2:3">
      <c r="B15" s="8" t="s">
        <v>16</v>
      </c>
      <c r="C15" s="9">
        <f>7769.62</f>
        <v>7769.62</v>
      </c>
    </row>
    <row r="16" spans="2:3">
      <c r="B16" s="8" t="s">
        <v>17</v>
      </c>
      <c r="C16" s="9">
        <f>94418947.98</f>
        <v>94418947.98</v>
      </c>
    </row>
    <row r="17" spans="2:3">
      <c r="B17" s="8" t="s">
        <v>18</v>
      </c>
      <c r="C17" s="9">
        <f>4481255.23</f>
        <v>4481255.23</v>
      </c>
    </row>
    <row r="18" spans="2:3">
      <c r="B18" s="8" t="s">
        <v>19</v>
      </c>
      <c r="C18" s="9">
        <f>41754442.37</f>
        <v>41754442.37</v>
      </c>
    </row>
    <row r="19" spans="2:3">
      <c r="B19" s="8" t="s">
        <v>13</v>
      </c>
      <c r="C19" s="9">
        <f>42882.88</f>
        <v>42882.88</v>
      </c>
    </row>
    <row r="20" spans="2:3">
      <c r="B20" s="8" t="s">
        <v>14</v>
      </c>
      <c r="C20" s="9">
        <f>11050185.43</f>
        <v>11050185.43</v>
      </c>
    </row>
    <row r="21" spans="2:3">
      <c r="B21" s="8" t="s">
        <v>15</v>
      </c>
      <c r="C21" s="9">
        <f>31363949.62</f>
        <v>31363949.62</v>
      </c>
    </row>
    <row r="22" spans="2:3">
      <c r="B22" s="8" t="s">
        <v>20</v>
      </c>
      <c r="C22" s="9">
        <f>4326833.62</f>
        <v>4326833.62</v>
      </c>
    </row>
    <row r="23" spans="2:3">
      <c r="B23" s="8" t="s">
        <v>18</v>
      </c>
      <c r="C23" s="9">
        <f>50472.46</f>
        <v>50472.46</v>
      </c>
    </row>
    <row r="24" spans="2:3">
      <c r="B24" s="8" t="s">
        <v>19</v>
      </c>
      <c r="C24" s="9">
        <f>841972.86</f>
        <v>841972.86</v>
      </c>
    </row>
    <row r="25" spans="2:3">
      <c r="B25" s="10" t="s">
        <v>21</v>
      </c>
      <c r="C25" s="9">
        <f>391363.06</f>
        <v>391363.06</v>
      </c>
    </row>
    <row r="26" spans="2:3">
      <c r="B26" s="8" t="s">
        <v>12</v>
      </c>
      <c r="C26" s="9">
        <f>230033.8</f>
        <v>230033.8</v>
      </c>
    </row>
    <row r="27" spans="2:3">
      <c r="B27" s="8" t="s">
        <v>14</v>
      </c>
      <c r="C27" s="9">
        <f>1073825.38</f>
        <v>1073825.38</v>
      </c>
    </row>
    <row r="28" spans="2:3">
      <c r="B28" s="8" t="s">
        <v>15</v>
      </c>
      <c r="C28" s="9">
        <f>451500.11</f>
        <v>451500.11</v>
      </c>
    </row>
    <row r="29" spans="2:3">
      <c r="B29" s="8" t="s">
        <v>22</v>
      </c>
      <c r="C29" s="9">
        <f>24854.24</f>
        <v>24854.24</v>
      </c>
    </row>
    <row r="30" ht="67.9" customHeight="1" spans="2:3">
      <c r="B30" s="11" t="s">
        <v>23</v>
      </c>
      <c r="C30" s="11"/>
    </row>
    <row r="31" ht="56" customHeight="1" spans="2:3">
      <c r="B31" s="11" t="s">
        <v>24</v>
      </c>
      <c r="C31" s="11"/>
    </row>
    <row r="32" ht="47" customHeight="1" spans="2:3">
      <c r="B32" s="11" t="s">
        <v>25</v>
      </c>
      <c r="C32" s="11"/>
    </row>
    <row r="33" ht="38.45" customHeight="1" spans="2:10">
      <c r="B33" s="12" t="s">
        <v>26</v>
      </c>
      <c r="C33" s="13"/>
      <c r="G33" s="2" t="s">
        <v>27</v>
      </c>
      <c r="H33" s="14" t="str">
        <f t="shared" ref="H33:H35" si="0">TEXT(I33/J33-1,"0.00%")</f>
        <v>0.82%</v>
      </c>
      <c r="I33" s="2">
        <f>12440.66</f>
        <v>12440.66</v>
      </c>
      <c r="J33" s="3">
        <f>12339.46</f>
        <v>12339.46</v>
      </c>
    </row>
    <row r="34" ht="57.95" customHeight="1" spans="2:10">
      <c r="B34" s="11" t="s">
        <v>28</v>
      </c>
      <c r="C34" s="11"/>
      <c r="G34" s="2" t="s">
        <v>29</v>
      </c>
      <c r="H34" s="14" t="str">
        <f t="shared" si="0"/>
        <v>38.66%</v>
      </c>
      <c r="I34" s="2">
        <f>94418947.98</f>
        <v>94418947.98</v>
      </c>
      <c r="J34" s="3">
        <f>68095353.18</f>
        <v>68095353.18</v>
      </c>
    </row>
    <row r="35" ht="60" customHeight="1" spans="2:10">
      <c r="B35" s="15" t="str">
        <f>"    6、按可比口径，行业汇总原保险保费收入同比增长"&amp;H33&amp;"，保险金额增长"&amp;H34&amp;"，赔款支出增长"&amp;H35&amp;"。"</f>
        <v>    6、按可比口径，行业汇总原保险保费收入同比增长0.82%，保险金额增长38.66%，赔款支出增长13.88%。</v>
      </c>
      <c r="C35" s="15"/>
      <c r="G35" s="2" t="s">
        <v>30</v>
      </c>
      <c r="H35" s="14" t="str">
        <f t="shared" si="0"/>
        <v>13.88%</v>
      </c>
      <c r="I35" s="2">
        <f>7769.62</f>
        <v>7769.62</v>
      </c>
      <c r="J35" s="3">
        <f>6822.8</f>
        <v>6822.8</v>
      </c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8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2021-12-27T07:44:43Z</dcterms:created>
  <dcterms:modified xsi:type="dcterms:W3CDTF">2021-12-27T07:45:21Z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