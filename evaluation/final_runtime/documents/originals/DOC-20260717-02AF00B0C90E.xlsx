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产险公司数据（月度）  " sheetId="1" r:id="rId1"/>
  </sheets>
  <definedNames>
    <definedName name="_xlnm.Print_Area" localSheetId="0">'产险公司数据（月度）  '!$A$1:$C$34</definedName>
  </definedNames>
  <calcPr calcId="144525"/>
</workbook>
</file>

<file path=xl/sharedStrings.xml><?xml version="1.0" encoding="utf-8"?>
<sst xmlns="http://schemas.openxmlformats.org/spreadsheetml/2006/main" count="27">
  <si>
    <t>2021年06月财产保险公司经营情况表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</si>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</sst>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6">
    <font>
      <sz val="11"/>
      <color indexed="8"/>
      <name val="宋体"/>
      <charset val="134"/>
    </font>
    <font>
      <sz val="16"/>
      <color indexed="8"/>
      <name val="仿宋_GB2312"/>
      <charset val="134"/>
    </font>
    <font>
      <b/>
      <sz val="18"/>
      <color indexed="8"/>
      <name val="仿宋_GB2312"/>
      <charset val="134"/>
    </font>
    <font>
      <b/>
      <sz val="16"/>
      <color indexed="8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horizontal="left" vertical="center"/>
    </xf>
  </cellStyleXfs>
  <cellXfs count="13">
    <xf numFmtId="0" fontId="0" fillId="0" borderId="0" xfId="0">
      <alignment vertical="center"/>
    </xf>
    <xf numFmtId="0" fontId="1" fillId="0" borderId="0" xfId="7" applyFont="1" applyFill="1">
      <alignment horizontal="left" vertical="center"/>
    </xf>
    <xf numFmtId="0" fontId="2" fillId="0" borderId="0" xfId="7" applyFont="1" applyFill="1" applyAlignment="1">
      <alignment horizontal="center" vertical="center"/>
    </xf>
    <xf numFmtId="0" fontId="1" fillId="0" borderId="0" xfId="7" applyFont="1" applyFill="1" applyAlignment="1">
      <alignment horizontal="right" vertical="center"/>
    </xf>
    <xf numFmtId="0" fontId="1" fillId="0" borderId="0" xfId="6" applyFont="1" applyFill="1" applyBorder="1" applyAlignment="1">
      <alignment horizontal="right" wrapText="1"/>
    </xf>
    <xf numFmtId="0" fontId="3" fillId="0" borderId="1" xfId="7" applyFont="1" applyFill="1" applyBorder="1" applyAlignment="1">
      <alignment horizontal="center" vertical="center"/>
    </xf>
    <xf numFmtId="0" fontId="1" fillId="0" borderId="1" xfId="7" applyFont="1" applyFill="1" applyBorder="1">
      <alignment horizontal="left" vertical="center"/>
    </xf>
    <xf numFmtId="176" fontId="1" fillId="0" borderId="1" xfId="7" applyNumberFormat="1" applyFont="1" applyFill="1" applyBorder="1" applyAlignment="1">
      <alignment horizontal="right" vertical="center"/>
    </xf>
    <xf numFmtId="0" fontId="1" fillId="0" borderId="1" xfId="7" applyFont="1" applyFill="1" applyBorder="1" applyAlignment="1">
      <alignment horizontal="left" vertical="center"/>
    </xf>
    <xf numFmtId="10" fontId="1" fillId="0" borderId="0" xfId="7" applyNumberFormat="1" applyFont="1" applyFill="1">
      <alignment horizontal="left" vertical="center"/>
    </xf>
    <xf numFmtId="0" fontId="1" fillId="0" borderId="0" xfId="6" applyFont="1" applyFill="1" applyAlignment="1">
      <alignment horizontal="left" wrapText="1"/>
    </xf>
    <xf numFmtId="0" fontId="1" fillId="0" borderId="0" xfId="6" applyFont="1" applyFill="1" applyAlignment="1">
      <alignment horizontal="left"/>
    </xf>
    <xf numFmtId="0" fontId="1" fillId="0" borderId="0" xfId="6" applyFont="1" applyFill="1" applyAlignment="1"/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2" xfId="6"/>
    <cellStyle name="常规_lvxiaoli_1.1006保监会－产险.险保费收入情况表（2007" xf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D33"/>
  <sheetViews>
    <sheetView showGridLines="0" tabSelected="1" view="pageBreakPreview" zoomScale="70" zoomScaleNormal="100" zoomScaleSheetLayoutView="70" workbookViewId="0">
      <selection activeCell="E6" sqref="E6"/>
    </sheetView>
  </sheetViews>
  <sheetFormatPr defaultColWidth="9" defaultRowHeight="20.4" outlineLevelCol="3"/>
  <cols>
    <col min="1" max="1" width="1.75" style="1" customWidth="1"/>
    <col min="2" max="2" width="41.3796296296296" style="1" customWidth="1"/>
    <col min="3" max="3" width="56.4259259259259" style="1" customWidth="1"/>
    <col min="4" max="4" width="20" style="1"/>
    <col min="5" max="5" width="13" style="1"/>
    <col min="6" max="16384" width="9" style="1"/>
  </cols>
  <sheetData>
    <row r="1" ht="23" customHeight="1" spans="2:3">
      <c r="B1" s="2" t="s">
        <v>0</v>
      </c>
      <c r="C1" s="2"/>
    </row>
    <row r="2" ht="22" customHeight="1" spans="2:3">
      <c r="B2" s="3" t="s">
        <v>1</v>
      </c>
      <c r="C2" s="4" t="s">
        <v>2</v>
      </c>
    </row>
    <row r="3" spans="2:3">
      <c r="B3" s="5" t="s">
        <v>3</v>
      </c>
      <c r="C3" s="5" t="s">
        <v>4</v>
      </c>
    </row>
    <row r="4" spans="2:3">
      <c r="B4" s="6" t="s">
        <v>5</v>
      </c>
      <c r="C4" s="7">
        <f>7422.97-(79.59+0.36)</f>
        <v>7343.02</v>
      </c>
    </row>
    <row r="5" spans="2:3">
      <c r="B5" s="6" t="s">
        <v>6</v>
      </c>
      <c r="C5" s="7">
        <f>331.95-(2.15+0.01)</f>
        <v>329.79</v>
      </c>
    </row>
    <row r="6" spans="2:3">
      <c r="B6" s="6" t="s">
        <v>7</v>
      </c>
      <c r="C6" s="7">
        <f>65.5-(6.98+0.03)</f>
        <v>58.49</v>
      </c>
    </row>
    <row r="7" spans="2:3">
      <c r="B7" s="6" t="s">
        <v>8</v>
      </c>
      <c r="C7" s="7">
        <f>3794.25-(50.24+0)</f>
        <v>3744.01</v>
      </c>
    </row>
    <row r="8" spans="2:3">
      <c r="B8" s="6" t="s">
        <v>9</v>
      </c>
      <c r="C8" s="7">
        <f>95.28-(0.66+0)</f>
        <v>94.62</v>
      </c>
    </row>
    <row r="9" spans="2:3">
      <c r="B9" s="6" t="s">
        <v>10</v>
      </c>
      <c r="C9" s="7">
        <f>585.31-(7.57+0.04)</f>
        <v>577.7</v>
      </c>
    </row>
    <row r="10" spans="2:3">
      <c r="B10" s="6" t="s">
        <v>11</v>
      </c>
      <c r="C10" s="7">
        <f>259.41-(0+0)</f>
        <v>259.41</v>
      </c>
    </row>
    <row r="11" spans="2:3">
      <c r="B11" s="6" t="s">
        <v>12</v>
      </c>
      <c r="C11" s="7">
        <f>626.53-(0.1+0)</f>
        <v>626.43</v>
      </c>
    </row>
    <row r="12" spans="2:3">
      <c r="B12" s="6" t="s">
        <v>13</v>
      </c>
      <c r="C12" s="7">
        <f>1005.88-(3.54+0.01)</f>
        <v>1002.33</v>
      </c>
    </row>
    <row r="13" spans="2:3">
      <c r="B13" s="6" t="s">
        <v>14</v>
      </c>
      <c r="C13" s="7">
        <f>317.24-(4.98+0.27)</f>
        <v>311.99</v>
      </c>
    </row>
    <row r="14" spans="2:3">
      <c r="B14" s="6" t="s">
        <v>15</v>
      </c>
      <c r="C14" s="7">
        <f>3946.76-(48.82+0.79)</f>
        <v>3897.15</v>
      </c>
    </row>
    <row r="15" spans="2:3">
      <c r="B15" s="6" t="s">
        <v>16</v>
      </c>
      <c r="C15" s="7">
        <f>45070801.52-(247186.63+15641.42)</f>
        <v>44807973.47</v>
      </c>
    </row>
    <row r="16" spans="2:3">
      <c r="B16" s="6" t="s">
        <v>17</v>
      </c>
      <c r="C16" s="7">
        <f>2259111.07-(29597.09+0)</f>
        <v>2229513.98</v>
      </c>
    </row>
    <row r="17" spans="2:3">
      <c r="B17" s="6" t="s">
        <v>18</v>
      </c>
      <c r="C17" s="7">
        <f>16410292.5-(76401.77+424.34)</f>
        <v>16333466.39</v>
      </c>
    </row>
    <row r="18" spans="2:3">
      <c r="B18" s="6" t="s">
        <v>12</v>
      </c>
      <c r="C18" s="7">
        <f>31790.16-(4.4+0)</f>
        <v>31785.76</v>
      </c>
    </row>
    <row r="19" spans="2:3">
      <c r="B19" s="6" t="s">
        <v>13</v>
      </c>
      <c r="C19" s="7">
        <f>7354038.31-(12600.51+751.49)</f>
        <v>7340686.31</v>
      </c>
    </row>
    <row r="20" spans="2:3">
      <c r="B20" s="6" t="s">
        <v>14</v>
      </c>
      <c r="C20" s="7">
        <f>15762449.07-(111370.8+14415.23)</f>
        <v>15636663.04</v>
      </c>
    </row>
    <row r="21" spans="2:3">
      <c r="B21" s="6" t="s">
        <v>19</v>
      </c>
      <c r="C21" s="7">
        <f>2168959.9-(3219.42+214.76)</f>
        <v>2165525.72</v>
      </c>
    </row>
    <row r="22" spans="2:3">
      <c r="B22" s="6" t="s">
        <v>17</v>
      </c>
      <c r="C22" s="7">
        <f>27508.76-(449.55+0)</f>
        <v>27059.21</v>
      </c>
    </row>
    <row r="23" spans="2:3">
      <c r="B23" s="6" t="s">
        <v>18</v>
      </c>
      <c r="C23" s="7">
        <f>386061.65-(336.87+4.11)</f>
        <v>385720.67</v>
      </c>
    </row>
    <row r="24" spans="2:3">
      <c r="B24" s="8" t="s">
        <v>20</v>
      </c>
      <c r="C24" s="7">
        <f>197550.86-(6.92+0)</f>
        <v>197543.94</v>
      </c>
    </row>
    <row r="25" spans="2:3">
      <c r="B25" s="6" t="s">
        <v>11</v>
      </c>
      <c r="C25" s="7">
        <f>144337.69-(0+0)</f>
        <v>144337.69</v>
      </c>
    </row>
    <row r="26" spans="2:3">
      <c r="B26" s="6" t="s">
        <v>13</v>
      </c>
      <c r="C26" s="7">
        <f>599960.94-(17.25+58.51)</f>
        <v>599885.18</v>
      </c>
    </row>
    <row r="27" spans="2:3">
      <c r="B27" s="6" t="s">
        <v>14</v>
      </c>
      <c r="C27" s="7">
        <f>227296.28-(1779.29+120)</f>
        <v>225396.99</v>
      </c>
    </row>
    <row r="28" spans="2:4">
      <c r="B28" s="6" t="s">
        <v>21</v>
      </c>
      <c r="C28" s="7">
        <f>25292.94-(192.42+4.41)</f>
        <v>25096.11</v>
      </c>
      <c r="D28" s="9"/>
    </row>
    <row r="29" ht="67.9" customHeight="1" spans="2:3">
      <c r="B29" s="10" t="s">
        <v>22</v>
      </c>
      <c r="C29" s="10"/>
    </row>
    <row r="30" ht="38.45" customHeight="1" spans="2:3">
      <c r="B30" s="10" t="s">
        <v>23</v>
      </c>
      <c r="C30" s="10"/>
    </row>
    <row r="31" ht="38.45" customHeight="1" spans="2:3">
      <c r="B31" s="10" t="s">
        <v>24</v>
      </c>
      <c r="C31" s="10"/>
    </row>
    <row r="32" ht="30" customHeight="1" spans="2:3">
      <c r="B32" s="11" t="s">
        <v>25</v>
      </c>
      <c r="C32" s="12"/>
    </row>
    <row r="33" ht="48" customHeight="1" spans="2:3">
      <c r="B33" s="10" t="s">
        <v>26</v>
      </c>
      <c r="C33" s="10"/>
    </row>
  </sheetData>
  <mergeCells count="5">
    <mergeCell ref="B1:C1"/>
    <mergeCell ref="B29:C29"/>
    <mergeCell ref="B30:C30"/>
    <mergeCell ref="B31:C31"/>
    <mergeCell ref="B33:C33"/>
  </mergeCells>
  <printOptions horizontalCentered="1"/>
  <pageMargins left="0" right="0" top="0.393055555555556" bottom="0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银监会</dc:creator>
  <dcterms:created xsi:type="dcterms:W3CDTF">2021-08-05T08:11:46Z</dcterms:created>
  <dcterms:modified xsi:type="dcterms:W3CDTF">2021-08-05T08:11:55Z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