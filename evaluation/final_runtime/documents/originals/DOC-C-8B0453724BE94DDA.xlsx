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80" windowHeight="9635"/>
  </bookViews>
  <sheets>
    <sheet name="Sheet1" sheetId="5" r:id="rId1"/>
    <sheet name="Sheet2" sheetId="3" r:id="rId2"/>
    <sheet name="Sheet3" sheetId="4" r:id="rId3"/>
  </sheets>
  <definedNames>
    <definedName name="月份">OFFSET(#REF!,,,,COUNTA(#REF!)-1)</definedName>
    <definedName name="总值">OFFSET(#REF!,,,,COUNTA(#REF!)-1)</definedName>
  </definedNames>
  <calcPr calcId="144525"/>
</workbook>
</file>

<file path=xl/sharedStrings.xml><?xml version="1.0" encoding="utf-8"?>
<sst xmlns="http://schemas.openxmlformats.org/spreadsheetml/2006/main" count="18">
  <si>
    <t>2022年2季度保险业资金运用情况表</t>
  </si>
  <si>
    <t>单位：亿元</t>
  </si>
  <si>
    <t>项目</t>
  </si>
  <si>
    <t>截至当期</t>
  </si>
  <si>
    <t>账面余额</t>
  </si>
  <si>
    <t>规模占比</t>
  </si>
  <si>
    <t>同比增长</t>
  </si>
  <si>
    <t>资金运用余额</t>
  </si>
  <si>
    <t>财务收益率年化</t>
  </si>
  <si>
    <t>综合收益率年化</t>
  </si>
  <si>
    <t>其中：人身险公司</t>
  </si>
  <si>
    <t xml:space="preserve">   其中：银行存款</t>
  </si>
  <si>
    <t xml:space="preserve">        债券</t>
  </si>
  <si>
    <t xml:space="preserve">        股票</t>
  </si>
  <si>
    <t xml:space="preserve">        证券投资基金</t>
  </si>
  <si>
    <t xml:space="preserve">        长期股权投资</t>
  </si>
  <si>
    <t>其中：财产保险公司</t>
  </si>
  <si>
    <r>
      <rPr>
        <sz val="12"/>
        <rFont val="宋体"/>
        <charset val="134"/>
      </rPr>
      <t>备注：1、本表统计全部保险资金运用情况，包括非独立帐户和独立帐户。因华夏人寿、天安人寿、天安财险、易安财险目前处于风险处置阶段，2021年9月起行业数据口径暂不包含这四家机构，环比、同比数据一并剔除计算。
     2、财务收益率年化=</t>
    </r>
    <r>
      <rPr>
        <sz val="12"/>
        <rFont val="仿宋_GB2312"/>
        <charset val="134"/>
      </rPr>
      <t>〔</t>
    </r>
    <r>
      <rPr>
        <sz val="12"/>
        <rFont val="宋体"/>
        <charset val="134"/>
      </rPr>
      <t>（期末累计实现财务收益/平均资金运用余额）/x</t>
    </r>
    <r>
      <rPr>
        <sz val="12"/>
        <rFont val="仿宋_GB2312"/>
        <charset val="134"/>
      </rPr>
      <t>〕</t>
    </r>
    <r>
      <rPr>
        <sz val="12"/>
        <rFont val="宋体"/>
        <charset val="134"/>
      </rPr>
      <t>*4,x为当前季度。
     3、综合收益率年化=〔（期末累计实现综合收益/平均资金运用余额）/x〕*4,x为当前季度。
     4、上述数据来源于各公司报送的保险数据，未经审计。</t>
    </r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</si>
</sst>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</numFmts>
  <fonts count="28">
    <font>
      <sz val="11"/>
      <color indexed="8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黑体"/>
      <charset val="134"/>
    </font>
    <font>
      <b/>
      <sz val="16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3" fillId="22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4" borderId="5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13" borderId="4" applyNumberFormat="0" applyAlignment="0" applyProtection="0">
      <alignment vertical="center"/>
    </xf>
    <xf numFmtId="0" fontId="24" fillId="13" borderId="8" applyNumberFormat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" fillId="0" borderId="0">
      <alignment vertical="center"/>
      <protection locked="0"/>
    </xf>
    <xf numFmtId="0" fontId="7" fillId="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</cellStyleXfs>
  <cellXfs count="19">
    <xf numFmtId="0" fontId="0" fillId="0" borderId="0" xfId="0" applyFill="1">
      <alignment vertical="center"/>
    </xf>
    <xf numFmtId="0" fontId="1" fillId="0" borderId="0" xfId="50" applyFont="1" applyFill="1" applyBorder="1" applyAlignment="1">
      <alignment horizontal="center"/>
    </xf>
    <xf numFmtId="0" fontId="2" fillId="0" borderId="0" xfId="50" applyFont="1" applyFill="1" applyBorder="1" applyAlignment="1"/>
    <xf numFmtId="0" fontId="3" fillId="0" borderId="0" xfId="50" applyFont="1" applyFill="1" applyBorder="1" applyAlignment="1"/>
    <xf numFmtId="0" fontId="4" fillId="0" borderId="0" xfId="50" applyFont="1" applyFill="1" applyBorder="1" applyAlignment="1">
      <alignment horizontal="right"/>
    </xf>
    <xf numFmtId="0" fontId="5" fillId="0" borderId="1" xfId="44" applyFont="1" applyFill="1" applyBorder="1" applyAlignment="1">
      <alignment horizontal="center" vertical="center" wrapText="1"/>
      <protection locked="0"/>
    </xf>
    <xf numFmtId="57" fontId="5" fillId="0" borderId="1" xfId="50" applyNumberFormat="1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/>
    </xf>
    <xf numFmtId="0" fontId="4" fillId="0" borderId="1" xfId="52" applyFont="1" applyFill="1" applyBorder="1" applyAlignment="1">
      <alignment horizontal="left" vertical="center" wrapText="1"/>
    </xf>
    <xf numFmtId="176" fontId="3" fillId="0" borderId="1" xfId="52" applyNumberFormat="1" applyFont="1" applyFill="1" applyBorder="1" applyAlignment="1">
      <alignment horizontal="right" vertical="center" wrapText="1"/>
    </xf>
    <xf numFmtId="10" fontId="3" fillId="0" borderId="1" xfId="52" applyNumberFormat="1" applyFont="1" applyFill="1" applyBorder="1" applyAlignment="1">
      <alignment horizontal="right" vertical="center" wrapText="1"/>
    </xf>
    <xf numFmtId="10" fontId="3" fillId="0" borderId="1" xfId="44" applyNumberFormat="1" applyFont="1" applyFill="1" applyBorder="1" applyAlignment="1">
      <alignment horizontal="center" vertical="center" wrapText="1"/>
      <protection locked="0"/>
    </xf>
    <xf numFmtId="0" fontId="6" fillId="0" borderId="0" xfId="50" applyFont="1" applyFill="1" applyBorder="1" applyAlignment="1">
      <alignment horizontal="left" vertical="center"/>
    </xf>
    <xf numFmtId="10" fontId="3" fillId="0" borderId="1" xfId="52" applyNumberFormat="1" applyFont="1" applyFill="1" applyBorder="1" applyAlignment="1" applyProtection="1">
      <alignment horizontal="right" vertical="center" wrapText="1"/>
    </xf>
    <xf numFmtId="0" fontId="4" fillId="0" borderId="1" xfId="44" applyFont="1" applyFill="1" applyBorder="1" applyAlignment="1">
      <alignment horizontal="left" vertical="center" wrapText="1"/>
      <protection locked="0"/>
    </xf>
    <xf numFmtId="176" fontId="3" fillId="0" borderId="1" xfId="44" applyNumberFormat="1" applyFont="1" applyFill="1" applyBorder="1" applyAlignment="1">
      <alignment horizontal="right" vertical="center" wrapText="1"/>
      <protection locked="0"/>
    </xf>
    <xf numFmtId="10" fontId="3" fillId="0" borderId="1" xfId="44" applyNumberFormat="1" applyFont="1" applyFill="1" applyBorder="1" applyAlignment="1">
      <alignment horizontal="right" vertical="center" wrapText="1"/>
      <protection locked="0"/>
    </xf>
    <xf numFmtId="0" fontId="3" fillId="0" borderId="0" xfId="5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分析附表算法" xfId="50"/>
    <cellStyle name="常规 4" xfId="51"/>
    <cellStyle name="常规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2"/>
  <sheetViews>
    <sheetView tabSelected="1" workbookViewId="0">
      <selection activeCell="G31" sqref="G31"/>
    </sheetView>
  </sheetViews>
  <sheetFormatPr defaultColWidth="9" defaultRowHeight="14.4" outlineLevelCol="3"/>
  <cols>
    <col min="1" max="1" width="35.5555555555556" customWidth="1"/>
    <col min="2" max="4" width="13.3796296296296" customWidth="1"/>
  </cols>
  <sheetData>
    <row r="1" ht="31" customHeight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ht="15.6" spans="1:4">
      <c r="A3" s="3"/>
      <c r="B3" s="4" t="s">
        <v>1</v>
      </c>
      <c r="C3" s="4"/>
      <c r="D3" s="4"/>
    </row>
    <row r="4" ht="20" customHeight="1" spans="1:4">
      <c r="A4" s="5" t="s">
        <v>2</v>
      </c>
      <c r="B4" s="6" t="s">
        <v>3</v>
      </c>
      <c r="C4" s="6"/>
      <c r="D4" s="6"/>
    </row>
    <row r="5" ht="20" customHeight="1" spans="1:4">
      <c r="A5" s="5"/>
      <c r="B5" s="7" t="s">
        <v>4</v>
      </c>
      <c r="C5" s="7" t="s">
        <v>5</v>
      </c>
      <c r="D5" s="7" t="s">
        <v>6</v>
      </c>
    </row>
    <row r="6" ht="15.6" spans="1:4">
      <c r="A6" s="8" t="s">
        <v>7</v>
      </c>
      <c r="B6" s="9">
        <v>247088.14</v>
      </c>
      <c r="C6" s="10">
        <v>1</v>
      </c>
      <c r="D6" s="10">
        <v>0.1188</v>
      </c>
    </row>
    <row r="7" ht="15.6" spans="1:4">
      <c r="A7" s="8" t="s">
        <v>8</v>
      </c>
      <c r="B7" s="11">
        <v>0.0366</v>
      </c>
      <c r="C7" s="11"/>
      <c r="D7" s="11"/>
    </row>
    <row r="8" ht="15.6" spans="1:4">
      <c r="A8" s="8" t="s">
        <v>9</v>
      </c>
      <c r="B8" s="11">
        <v>0.0282</v>
      </c>
      <c r="C8" s="11"/>
      <c r="D8" s="11"/>
    </row>
    <row r="9" ht="30" customHeight="1" spans="1:4">
      <c r="A9" s="12" t="s">
        <v>10</v>
      </c>
      <c r="B9" s="12"/>
      <c r="C9" s="12"/>
      <c r="D9" s="12"/>
    </row>
    <row r="10" ht="18" customHeight="1" spans="1:4">
      <c r="A10" s="5" t="s">
        <v>2</v>
      </c>
      <c r="B10" s="6" t="s">
        <v>3</v>
      </c>
      <c r="C10" s="6"/>
      <c r="D10" s="6"/>
    </row>
    <row r="11" ht="18" customHeight="1" spans="1:4">
      <c r="A11" s="5"/>
      <c r="B11" s="7" t="s">
        <v>4</v>
      </c>
      <c r="C11" s="7" t="s">
        <v>5</v>
      </c>
      <c r="D11" s="7" t="s">
        <v>6</v>
      </c>
    </row>
    <row r="12" ht="15.6" spans="1:4">
      <c r="A12" s="8" t="s">
        <v>7</v>
      </c>
      <c r="B12" s="9">
        <v>220373.98</v>
      </c>
      <c r="C12" s="13">
        <v>1</v>
      </c>
      <c r="D12" s="10">
        <v>0.1267</v>
      </c>
    </row>
    <row r="13" ht="15.6" spans="1:4">
      <c r="A13" s="14" t="s">
        <v>11</v>
      </c>
      <c r="B13" s="15">
        <v>22734.01</v>
      </c>
      <c r="C13" s="16">
        <f>B13/B12</f>
        <v>0.103161044693207</v>
      </c>
      <c r="D13" s="16">
        <v>0.078</v>
      </c>
    </row>
    <row r="14" ht="15.6" spans="1:4">
      <c r="A14" s="14" t="s">
        <v>12</v>
      </c>
      <c r="B14" s="15">
        <v>89354.57</v>
      </c>
      <c r="C14" s="16">
        <v>0.4055</v>
      </c>
      <c r="D14" s="16">
        <v>0.1627</v>
      </c>
    </row>
    <row r="15" ht="15.6" spans="1:4">
      <c r="A15" s="8" t="s">
        <v>13</v>
      </c>
      <c r="B15" s="15">
        <v>17848.66</v>
      </c>
      <c r="C15" s="16">
        <v>0.081</v>
      </c>
      <c r="D15" s="16">
        <v>0.1057</v>
      </c>
    </row>
    <row r="16" ht="15.6" spans="1:4">
      <c r="A16" s="14" t="s">
        <v>14</v>
      </c>
      <c r="B16" s="15">
        <v>11615.2</v>
      </c>
      <c r="C16" s="16">
        <f>B16/B12</f>
        <v>0.0527067669241169</v>
      </c>
      <c r="D16" s="16">
        <v>0.3154</v>
      </c>
    </row>
    <row r="17" ht="15.6" spans="1:4">
      <c r="A17" s="8" t="s">
        <v>15</v>
      </c>
      <c r="B17" s="15">
        <v>19004.47</v>
      </c>
      <c r="C17" s="16">
        <v>0.0862</v>
      </c>
      <c r="D17" s="16">
        <v>0.0869</v>
      </c>
    </row>
    <row r="18" ht="15.6" spans="1:4">
      <c r="A18" s="8" t="s">
        <v>8</v>
      </c>
      <c r="B18" s="11">
        <v>0.0368</v>
      </c>
      <c r="C18" s="11"/>
      <c r="D18" s="11"/>
    </row>
    <row r="19" ht="15.6" spans="1:4">
      <c r="A19" s="8" t="s">
        <v>9</v>
      </c>
      <c r="B19" s="11">
        <v>0.0284</v>
      </c>
      <c r="C19" s="11"/>
      <c r="D19" s="11"/>
    </row>
    <row r="20" ht="30" customHeight="1" spans="1:4">
      <c r="A20" s="12" t="s">
        <v>16</v>
      </c>
      <c r="B20" s="12"/>
      <c r="C20" s="12"/>
      <c r="D20" s="12"/>
    </row>
    <row r="21" ht="15.6" spans="1:4">
      <c r="A21" s="5" t="s">
        <v>2</v>
      </c>
      <c r="B21" s="6" t="s">
        <v>3</v>
      </c>
      <c r="C21" s="6"/>
      <c r="D21" s="6"/>
    </row>
    <row r="22" ht="15.6" spans="1:4">
      <c r="A22" s="5"/>
      <c r="B22" s="7" t="s">
        <v>4</v>
      </c>
      <c r="C22" s="7" t="s">
        <v>5</v>
      </c>
      <c r="D22" s="7" t="s">
        <v>6</v>
      </c>
    </row>
    <row r="23" ht="15.6" spans="1:4">
      <c r="A23" s="8" t="s">
        <v>7</v>
      </c>
      <c r="B23" s="9">
        <v>18668.55</v>
      </c>
      <c r="C23" s="10">
        <v>1</v>
      </c>
      <c r="D23" s="10">
        <v>0.0765</v>
      </c>
    </row>
    <row r="24" ht="15.6" spans="1:4">
      <c r="A24" s="14" t="s">
        <v>11</v>
      </c>
      <c r="B24" s="15">
        <v>4171.61</v>
      </c>
      <c r="C24" s="16">
        <f>B24/B23</f>
        <v>0.223456561971872</v>
      </c>
      <c r="D24" s="16">
        <v>0.0334</v>
      </c>
    </row>
    <row r="25" ht="15.6" spans="1:4">
      <c r="A25" s="14" t="s">
        <v>12</v>
      </c>
      <c r="B25" s="15">
        <v>5808.7</v>
      </c>
      <c r="C25" s="16">
        <v>0.3111</v>
      </c>
      <c r="D25" s="16">
        <v>0.1243</v>
      </c>
    </row>
    <row r="26" ht="15.6" spans="1:4">
      <c r="A26" s="8" t="s">
        <v>13</v>
      </c>
      <c r="B26" s="15">
        <v>1349.69</v>
      </c>
      <c r="C26" s="16">
        <v>0.0723</v>
      </c>
      <c r="D26" s="16">
        <v>-0.0053</v>
      </c>
    </row>
    <row r="27" ht="15.6" spans="1:4">
      <c r="A27" s="14" t="s">
        <v>14</v>
      </c>
      <c r="B27" s="15">
        <v>1672.42</v>
      </c>
      <c r="C27" s="16">
        <f>B27/B23</f>
        <v>0.08958489009591</v>
      </c>
      <c r="D27" s="16">
        <v>0.2849</v>
      </c>
    </row>
    <row r="28" ht="15.6" spans="1:4">
      <c r="A28" s="8" t="s">
        <v>15</v>
      </c>
      <c r="B28" s="15">
        <v>1220.25</v>
      </c>
      <c r="C28" s="16">
        <v>0.0654</v>
      </c>
      <c r="D28" s="16">
        <v>0.1133</v>
      </c>
    </row>
    <row r="29" ht="15.6" spans="1:4">
      <c r="A29" s="8" t="s">
        <v>8</v>
      </c>
      <c r="B29" s="11">
        <v>0.0388</v>
      </c>
      <c r="C29" s="11"/>
      <c r="D29" s="11"/>
    </row>
    <row r="30" ht="15.6" spans="1:4">
      <c r="A30" s="8" t="s">
        <v>9</v>
      </c>
      <c r="B30" s="11">
        <v>0.0234</v>
      </c>
      <c r="C30" s="11"/>
      <c r="D30" s="11"/>
    </row>
    <row r="31" ht="160" customHeight="1" spans="1:4">
      <c r="A31" s="17" t="s">
        <v>17</v>
      </c>
      <c r="B31" s="17"/>
      <c r="C31" s="17"/>
      <c r="D31" s="17"/>
    </row>
    <row r="32" spans="1:4">
      <c r="A32" s="18"/>
      <c r="B32" s="18"/>
      <c r="C32" s="18"/>
      <c r="D32" s="18"/>
    </row>
  </sheetData>
  <mergeCells count="17">
    <mergeCell ref="A1:D1"/>
    <mergeCell ref="B3:D3"/>
    <mergeCell ref="B4:D4"/>
    <mergeCell ref="B7:D7"/>
    <mergeCell ref="B8:D8"/>
    <mergeCell ref="A9:D9"/>
    <mergeCell ref="B10:D10"/>
    <mergeCell ref="B18:D18"/>
    <mergeCell ref="B19:D19"/>
    <mergeCell ref="A20:D20"/>
    <mergeCell ref="B21:D21"/>
    <mergeCell ref="B29:D29"/>
    <mergeCell ref="B30:D30"/>
    <mergeCell ref="A31:D31"/>
    <mergeCell ref="A4:A5"/>
    <mergeCell ref="A10:A11"/>
    <mergeCell ref="A21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杨智栋</cp:lastModifiedBy>
  <dcterms:created xsi:type="dcterms:W3CDTF">2021-05-09T07:04:00Z</dcterms:created>
  <cp:lastPrinted>2021-06-09T16:02:00Z</cp:lastPrinted>
  <dcterms:modified xsi:type="dcterms:W3CDTF">2022-08-19T08:06:05Z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