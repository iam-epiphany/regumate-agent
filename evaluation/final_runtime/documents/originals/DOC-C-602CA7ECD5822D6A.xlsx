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80" windowHeight="9924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<sst xmlns="http://schemas.openxmlformats.org/spreadsheetml/2006/main" count="29">
  <si>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</si>
  <si>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2022年07月财产保险公司经营情况表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</si>
  <si>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</si>
  <si>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</si>
  <si>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</si>
  <si>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</si>
  <si>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</si>
  <si>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</si>
  <si>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</si>
  <si>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</si>
  <si>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</si>
  <si>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</si>
  <si>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</si>
  <si>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</si>
  <si>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</si>
  <si>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</si>
  <si>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</si>
  <si>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</si>
  <si>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</si>
  <si>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</si>
  <si>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</si>
  <si>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</si>
  <si>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</si>
  <si>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</si>
  <si>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</si>
  <si>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</si>
  <si>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</si>
  <si>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</si>
  <si>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6、按可比口径，行业汇总原保险保费收入同比增长9.31%，保险金额增长51.58%，赔款支出增长4.50%。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</si>
</sst>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134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0"/>
    <xf numFmtId="0" fontId="18" fillId="0" borderId="0">
      <alignment horizontal="left" vertical="center"/>
    </xf>
  </cellStyleXfs>
  <cellXfs count="17">
    <xf numFmtId="0" fontId="0" fillId="0" borderId="0" xfId="0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006保监会－产险.险保费收入情况表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55" zoomScaleNormal="100" zoomScaleSheetLayoutView="55" workbookViewId="0">
      <selection activeCell="H17" sqref="H17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f>9161.93</f>
        <v>9161.93</v>
      </c>
    </row>
    <row r="6" spans="2:3">
      <c r="B6" s="8" t="s">
        <v>7</v>
      </c>
      <c r="C6" s="9">
        <f>391.87</f>
        <v>391.87</v>
      </c>
    </row>
    <row r="7" spans="2:3">
      <c r="B7" s="8" t="s">
        <v>8</v>
      </c>
      <c r="C7" s="9">
        <f>83.19</f>
        <v>83.19</v>
      </c>
    </row>
    <row r="8" spans="2:3">
      <c r="B8" s="8" t="s">
        <v>9</v>
      </c>
      <c r="C8" s="9">
        <f>4624.74</f>
        <v>4624.74</v>
      </c>
    </row>
    <row r="9" spans="2:3">
      <c r="B9" s="8" t="s">
        <v>10</v>
      </c>
      <c r="C9" s="9">
        <f>89.54</f>
        <v>89.54</v>
      </c>
    </row>
    <row r="10" spans="2:3">
      <c r="B10" s="8" t="s">
        <v>11</v>
      </c>
      <c r="C10" s="9">
        <f>730.87</f>
        <v>730.87</v>
      </c>
    </row>
    <row r="11" spans="2:3">
      <c r="B11" s="8" t="s">
        <v>12</v>
      </c>
      <c r="C11" s="9">
        <f>323.48</f>
        <v>323.48</v>
      </c>
    </row>
    <row r="12" spans="2:3">
      <c r="B12" s="8" t="s">
        <v>13</v>
      </c>
      <c r="C12" s="9">
        <f>920.84</f>
        <v>920.84</v>
      </c>
    </row>
    <row r="13" spans="2:3">
      <c r="B13" s="8" t="s">
        <v>14</v>
      </c>
      <c r="C13" s="9">
        <f>1230.98</f>
        <v>1230.98</v>
      </c>
    </row>
    <row r="14" spans="2:3">
      <c r="B14" s="8" t="s">
        <v>15</v>
      </c>
      <c r="C14" s="9">
        <f>352.36</f>
        <v>352.36</v>
      </c>
    </row>
    <row r="15" spans="2:3">
      <c r="B15" s="8" t="s">
        <v>16</v>
      </c>
      <c r="C15" s="9">
        <f>4835.17</f>
        <v>4835.17</v>
      </c>
    </row>
    <row r="16" spans="2:3">
      <c r="B16" s="8" t="s">
        <v>17</v>
      </c>
      <c r="C16" s="9">
        <f>81769377.22</f>
        <v>81769377.22</v>
      </c>
    </row>
    <row r="17" spans="2:3">
      <c r="B17" s="8" t="s">
        <v>18</v>
      </c>
      <c r="C17" s="9">
        <f>3592965.38</f>
        <v>3592965.38</v>
      </c>
    </row>
    <row r="18" spans="2:3">
      <c r="B18" s="8" t="s">
        <v>19</v>
      </c>
      <c r="C18" s="9">
        <f>38688631.76</f>
        <v>38688631.76</v>
      </c>
    </row>
    <row r="19" spans="2:3">
      <c r="B19" s="8" t="s">
        <v>13</v>
      </c>
      <c r="C19" s="9">
        <f>30151.45</f>
        <v>30151.45</v>
      </c>
    </row>
    <row r="20" spans="2:3">
      <c r="B20" s="8" t="s">
        <v>14</v>
      </c>
      <c r="C20" s="9">
        <f>9376719.06</f>
        <v>9376719.06</v>
      </c>
    </row>
    <row r="21" spans="2:3">
      <c r="B21" s="8" t="s">
        <v>15</v>
      </c>
      <c r="C21" s="9">
        <f>25975867.63</f>
        <v>25975867.63</v>
      </c>
    </row>
    <row r="22" spans="2:3">
      <c r="B22" s="8" t="s">
        <v>20</v>
      </c>
      <c r="C22" s="9">
        <f>2824887.72</f>
        <v>2824887.72</v>
      </c>
    </row>
    <row r="23" spans="2:3">
      <c r="B23" s="8" t="s">
        <v>18</v>
      </c>
      <c r="C23" s="9">
        <f>32963.77</f>
        <v>32963.77</v>
      </c>
    </row>
    <row r="24" spans="2:3">
      <c r="B24" s="8" t="s">
        <v>19</v>
      </c>
      <c r="C24" s="9">
        <f>776563.71</f>
        <v>776563.71</v>
      </c>
    </row>
    <row r="25" spans="2:3">
      <c r="B25" s="10" t="s">
        <v>21</v>
      </c>
      <c r="C25" s="9">
        <f>261318.71</f>
        <v>261318.71</v>
      </c>
    </row>
    <row r="26" spans="2:3">
      <c r="B26" s="8" t="s">
        <v>12</v>
      </c>
      <c r="C26" s="9">
        <f>93663.77</f>
        <v>93663.77</v>
      </c>
    </row>
    <row r="27" spans="2:3">
      <c r="B27" s="8" t="s">
        <v>14</v>
      </c>
      <c r="C27" s="9">
        <f>447610.54</f>
        <v>447610.54</v>
      </c>
    </row>
    <row r="28" spans="2:3">
      <c r="B28" s="8" t="s">
        <v>15</v>
      </c>
      <c r="C28" s="9">
        <f>186969.05</f>
        <v>186969.05</v>
      </c>
    </row>
    <row r="29" spans="2:3">
      <c r="B29" s="8" t="s">
        <v>22</v>
      </c>
      <c r="C29" s="9">
        <f>26731.15</f>
        <v>26731.15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2022-09-07T08:54:10Z</dcterms:created>
  <dcterms:modified xsi:type="dcterms:W3CDTF">2022-09-07T08:54:21Z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