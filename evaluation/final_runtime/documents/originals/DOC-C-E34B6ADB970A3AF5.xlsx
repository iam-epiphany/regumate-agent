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<sst xmlns="http://schemas.openxmlformats.org/spreadsheetml/2006/main" count="32">
  <si>
    <t xml:space="preserve"> </t>
  </si>
  <si>
    <t>2022年02月财产保险公司经营情况表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</si>
  <si>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</si>
  <si>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</si>
  <si>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</si>
  <si>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</si>
  <si>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</si>
  <si>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</si>
  <si>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</si>
  <si>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</si>
  <si>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</si>
  <si>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</si>
  <si>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</si>
  <si>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</si>
  <si>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</si>
  <si>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</si>
  <si>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</si>
  <si>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</si>
  <si>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</si>
  <si>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</si>
  <si>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</si>
  <si>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</si>
  <si>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</si>
  <si>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</si>
  <si>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</si>
  <si>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</si>
  <si>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</si>
  <si>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>保费收入同比</t>
  </si>
  <si>
    <t xml:space="preserve">    5、因部分机构目前处于风险处置阶段，从2021年6月起，财产保险公司汇总数据口径暂不包含这部分机构。</t>
  </si>
  <si>
    <t>保险金额同比</t>
  </si>
  <si>
    <t xml:space="preserve">    6、按可比口径，行业汇总原保险保费收入同比增长13.37%，保险金额增长42.54%，赔款支出增长5.04%。</t>
  </si>
  <si>
    <t>赔付支出同比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</si>
</sst>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3" fillId="5" borderId="3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5" fillId="0" borderId="0">
      <alignment horizontal="left" vertical="center"/>
    </xf>
    <xf numFmtId="0" fontId="24" fillId="0" borderId="0"/>
  </cellStyleXfs>
  <cellXfs count="16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0" borderId="0" xfId="49" applyFont="1" applyFill="1">
      <alignment horizontal="left" vertical="center"/>
    </xf>
    <xf numFmtId="0" fontId="2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right" vertical="center"/>
    </xf>
    <xf numFmtId="0" fontId="1" fillId="0" borderId="0" xfId="50" applyFont="1" applyFill="1" applyBorder="1" applyAlignment="1">
      <alignment horizontal="right" wrapText="1"/>
    </xf>
    <xf numFmtId="0" fontId="4" fillId="0" borderId="1" xfId="49" applyFont="1" applyFill="1" applyBorder="1" applyAlignment="1">
      <alignment horizontal="center" vertical="center"/>
    </xf>
    <xf numFmtId="0" fontId="1" fillId="0" borderId="1" xfId="49" applyFont="1" applyFill="1" applyBorder="1">
      <alignment horizontal="left" vertical="center"/>
    </xf>
    <xf numFmtId="1" fontId="1" fillId="0" borderId="1" xfId="49" applyNumberFormat="1" applyFont="1" applyFill="1" applyBorder="1" applyAlignment="1">
      <alignment horizontal="right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  <xf numFmtId="0" fontId="1" fillId="0" borderId="0" xfId="50" applyFont="1" applyFill="1" applyAlignment="1">
      <alignment horizontal="left" vertical="center"/>
    </xf>
    <xf numFmtId="0" fontId="1" fillId="0" borderId="0" xfId="50" applyFont="1" applyFill="1" applyAlignment="1">
      <alignment vertical="center"/>
    </xf>
    <xf numFmtId="10" fontId="2" fillId="0" borderId="0" xfId="49" applyNumberFormat="1" applyFont="1" applyFill="1">
      <alignment horizontal="left" vertical="center"/>
    </xf>
    <xf numFmtId="0" fontId="1" fillId="0" borderId="0" xfId="49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55" zoomScaleNormal="100" zoomScaleSheetLayoutView="55" workbookViewId="0">
      <selection activeCell="H16" sqref="H16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2651.93</v>
      </c>
    </row>
    <row r="6" spans="2:3">
      <c r="B6" s="8" t="s">
        <v>7</v>
      </c>
      <c r="C6" s="9">
        <v>151.36</v>
      </c>
    </row>
    <row r="7" spans="2:3">
      <c r="B7" s="8" t="s">
        <v>8</v>
      </c>
      <c r="C7" s="9">
        <v>20.85</v>
      </c>
    </row>
    <row r="8" spans="2:3">
      <c r="B8" s="8" t="s">
        <v>9</v>
      </c>
      <c r="C8" s="9">
        <v>1262.32</v>
      </c>
    </row>
    <row r="9" spans="2:3">
      <c r="B9" s="8" t="s">
        <v>10</v>
      </c>
      <c r="C9" s="9">
        <v>26.36</v>
      </c>
    </row>
    <row r="10" spans="2:3">
      <c r="B10" s="8" t="s">
        <v>11</v>
      </c>
      <c r="C10" s="9">
        <v>216.58</v>
      </c>
    </row>
    <row r="11" spans="2:3">
      <c r="B11" s="8" t="s">
        <v>12</v>
      </c>
      <c r="C11" s="9">
        <v>102.94</v>
      </c>
    </row>
    <row r="12" spans="2:3">
      <c r="B12" s="8" t="s">
        <v>13</v>
      </c>
      <c r="C12" s="9">
        <v>154.67</v>
      </c>
    </row>
    <row r="13" spans="2:3">
      <c r="B13" s="8" t="s">
        <v>14</v>
      </c>
      <c r="C13" s="9">
        <v>495.06</v>
      </c>
    </row>
    <row r="14" spans="2:3">
      <c r="B14" s="8" t="s">
        <v>15</v>
      </c>
      <c r="C14" s="9">
        <v>102.5</v>
      </c>
    </row>
    <row r="15" spans="2:3">
      <c r="B15" s="8" t="s">
        <v>16</v>
      </c>
      <c r="C15" s="9">
        <v>1313.6</v>
      </c>
    </row>
    <row r="16" spans="2:3">
      <c r="B16" s="8" t="s">
        <v>17</v>
      </c>
      <c r="C16" s="9">
        <v>21886139.06</v>
      </c>
    </row>
    <row r="17" spans="2:3">
      <c r="B17" s="8" t="s">
        <v>18</v>
      </c>
      <c r="C17" s="9">
        <v>1035522.53</v>
      </c>
    </row>
    <row r="18" spans="2:3">
      <c r="B18" s="8" t="s">
        <v>19</v>
      </c>
      <c r="C18" s="9">
        <v>9108984.6</v>
      </c>
    </row>
    <row r="19" spans="2:3">
      <c r="B19" s="8" t="s">
        <v>13</v>
      </c>
      <c r="C19" s="9">
        <v>6891.31</v>
      </c>
    </row>
    <row r="20" spans="2:3">
      <c r="B20" s="8" t="s">
        <v>14</v>
      </c>
      <c r="C20" s="9">
        <v>2808254.92</v>
      </c>
    </row>
    <row r="21" spans="2:3">
      <c r="B21" s="8" t="s">
        <v>15</v>
      </c>
      <c r="C21" s="9">
        <v>7482803.23</v>
      </c>
    </row>
    <row r="22" spans="2:3">
      <c r="B22" s="8" t="s">
        <v>20</v>
      </c>
      <c r="C22" s="9">
        <v>774838.14</v>
      </c>
    </row>
    <row r="23" spans="2:3">
      <c r="B23" s="8" t="s">
        <v>18</v>
      </c>
      <c r="C23" s="9">
        <v>9629.62</v>
      </c>
    </row>
    <row r="24" spans="2:3">
      <c r="B24" s="8" t="s">
        <v>19</v>
      </c>
      <c r="C24" s="9">
        <v>201946.72</v>
      </c>
    </row>
    <row r="25" spans="2:3">
      <c r="B25" s="10" t="s">
        <v>21</v>
      </c>
      <c r="C25" s="9">
        <v>81256.91</v>
      </c>
    </row>
    <row r="26" spans="2:3">
      <c r="B26" s="8" t="s">
        <v>12</v>
      </c>
      <c r="C26" s="9">
        <v>25003.27</v>
      </c>
    </row>
    <row r="27" spans="2:3">
      <c r="B27" s="8" t="s">
        <v>14</v>
      </c>
      <c r="C27" s="9">
        <v>145191.45</v>
      </c>
    </row>
    <row r="28" spans="2:3">
      <c r="B28" s="8" t="s">
        <v>15</v>
      </c>
      <c r="C28" s="9">
        <v>69174.52</v>
      </c>
    </row>
    <row r="29" spans="2:3">
      <c r="B29" s="8" t="s">
        <v>22</v>
      </c>
      <c r="C29" s="9">
        <v>25209.86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2" t="s">
        <v>27</v>
      </c>
      <c r="H33" s="14" t="str">
        <f t="shared" ref="H33:H35" si="0">TEXT(I33/J33-1,"0.00%")</f>
        <v>13.45%</v>
      </c>
      <c r="I33" s="2">
        <f>1773.91</f>
        <v>1773.91</v>
      </c>
      <c r="J33" s="3">
        <f>1563.61</f>
        <v>1563.61</v>
      </c>
    </row>
    <row r="34" ht="48" customHeight="1" spans="2:10">
      <c r="B34" s="11" t="s">
        <v>28</v>
      </c>
      <c r="C34" s="11"/>
      <c r="G34" s="2" t="s">
        <v>29</v>
      </c>
      <c r="H34" s="14" t="str">
        <f t="shared" si="0"/>
        <v>29.36%</v>
      </c>
      <c r="I34" s="2">
        <f>13492940.91</f>
        <v>13492940.91</v>
      </c>
      <c r="J34" s="3">
        <f>10430875.63</f>
        <v>10430875.63</v>
      </c>
    </row>
    <row r="35" ht="45" customHeight="1" spans="2:10">
      <c r="B35" s="15" t="s">
        <v>30</v>
      </c>
      <c r="C35" s="15"/>
      <c r="G35" s="2" t="s">
        <v>31</v>
      </c>
      <c r="H35" s="14" t="str">
        <f t="shared" si="0"/>
        <v>15.32%</v>
      </c>
      <c r="I35" s="2">
        <f>834.21</f>
        <v>834.21</v>
      </c>
      <c r="J35" s="3">
        <f>723.37</f>
        <v>723.37</v>
      </c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2022-03-28T07:50:41Z</dcterms:created>
  <dcterms:modified xsi:type="dcterms:W3CDTF">2022-03-28T07:50:45Z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