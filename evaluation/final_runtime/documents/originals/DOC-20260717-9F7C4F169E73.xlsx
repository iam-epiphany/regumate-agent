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7020"/>
  </bookViews>
  <sheets>
    <sheet name="产险公司数据（月度）  " sheetId="1" r:id="rId1"/>
  </sheets>
  <definedNames>
    <definedName name="_xlnm.Print_Area" localSheetId="0">'产险公司数据（月度）  '!$A$1:$C$34</definedName>
  </definedNames>
  <calcPr calcId="144525"/>
</workbook>
</file>

<file path=xl/sharedStrings.xml><?xml version="1.0" encoding="utf-8"?>
<sst xmlns="http://schemas.openxmlformats.org/spreadsheetml/2006/main" count="28">
  <si>
    <t xml:space="preserve"> </t>
  </si>
  <si>
    <t>2021年08月财产保险公司经营情况表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</si>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</sst>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21" fillId="23" borderId="2" applyNumberFormat="0" applyAlignment="0" applyProtection="0">
      <alignment vertical="center"/>
    </xf>
    <xf numFmtId="0" fontId="22" fillId="26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3" fillId="0" borderId="0">
      <alignment horizontal="left" vertical="center"/>
    </xf>
    <xf numFmtId="0" fontId="24" fillId="0" borderId="0"/>
  </cellStyleXfs>
  <cellXfs count="12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right" vertical="center"/>
    </xf>
    <xf numFmtId="0" fontId="1" fillId="0" borderId="0" xfId="50" applyFont="1" applyFill="1" applyBorder="1" applyAlignment="1">
      <alignment horizontal="right" wrapText="1"/>
    </xf>
    <xf numFmtId="0" fontId="3" fillId="0" borderId="1" xfId="49" applyFont="1" applyFill="1" applyBorder="1" applyAlignment="1">
      <alignment horizontal="center" vertical="center"/>
    </xf>
    <xf numFmtId="0" fontId="1" fillId="0" borderId="1" xfId="49" applyFont="1" applyFill="1" applyBorder="1">
      <alignment horizontal="left" vertical="center"/>
    </xf>
    <xf numFmtId="176" fontId="1" fillId="0" borderId="1" xfId="49" applyNumberFormat="1" applyFont="1" applyFill="1" applyBorder="1" applyAlignment="1">
      <alignment horizontal="right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0" xfId="50" applyFont="1" applyFill="1" applyAlignment="1">
      <alignment horizontal="left" wrapText="1"/>
    </xf>
    <xf numFmtId="0" fontId="1" fillId="0" borderId="0" xfId="50" applyFont="1" applyFill="1" applyAlignment="1">
      <alignment horizontal="left"/>
    </xf>
    <xf numFmtId="0" fontId="1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70" zoomScaleNormal="100" zoomScaleSheetLayoutView="70" topLeftCell="A22" workbookViewId="0">
      <selection activeCell="G32" sqref="G32"/>
    </sheetView>
  </sheetViews>
  <sheetFormatPr defaultColWidth="9" defaultRowHeight="20.4" outlineLevelCol="2"/>
  <cols>
    <col min="1" max="1" width="1.75" style="1" customWidth="1"/>
    <col min="2" max="2" width="49.75" style="1" customWidth="1"/>
    <col min="3" max="3" width="45.3981481481481" style="1" customWidth="1"/>
    <col min="4" max="16384" width="9" style="1"/>
  </cols>
  <sheetData>
    <row r="1" spans="1:1">
      <c r="A1" s="1" t="s">
        <v>0</v>
      </c>
    </row>
    <row r="2" ht="22.2" spans="2:3">
      <c r="B2" s="2" t="s">
        <v>1</v>
      </c>
      <c r="C2" s="2"/>
    </row>
    <row r="3" spans="2:3">
      <c r="B3" s="3" t="s">
        <v>2</v>
      </c>
      <c r="C3" s="4" t="s">
        <v>3</v>
      </c>
    </row>
    <row r="4" spans="2:3">
      <c r="B4" s="5" t="s">
        <v>4</v>
      </c>
      <c r="C4" s="5" t="s">
        <v>5</v>
      </c>
    </row>
    <row r="5" spans="2:3">
      <c r="B5" s="6" t="s">
        <v>6</v>
      </c>
      <c r="C5" s="7">
        <f>9377.75</f>
        <v>9377.75</v>
      </c>
    </row>
    <row r="6" spans="2:3">
      <c r="B6" s="6" t="s">
        <v>7</v>
      </c>
      <c r="C6" s="7">
        <f>403.99</f>
        <v>403.99</v>
      </c>
    </row>
    <row r="7" spans="2:3">
      <c r="B7" s="6" t="s">
        <v>8</v>
      </c>
      <c r="C7" s="7">
        <f>72.55</f>
        <v>72.55</v>
      </c>
    </row>
    <row r="8" spans="2:3">
      <c r="B8" s="6" t="s">
        <v>9</v>
      </c>
      <c r="C8" s="7">
        <f>4950.08</f>
        <v>4950.08</v>
      </c>
    </row>
    <row r="9" spans="2:3">
      <c r="B9" s="6" t="s">
        <v>10</v>
      </c>
      <c r="C9" s="7">
        <f>110.67</f>
        <v>110.67</v>
      </c>
    </row>
    <row r="10" spans="2:3">
      <c r="B10" s="6" t="s">
        <v>11</v>
      </c>
      <c r="C10" s="7">
        <f>718.72</f>
        <v>718.72</v>
      </c>
    </row>
    <row r="11" spans="2:3">
      <c r="B11" s="6" t="s">
        <v>12</v>
      </c>
      <c r="C11" s="7">
        <f>347.59</f>
        <v>347.59</v>
      </c>
    </row>
    <row r="12" spans="2:3">
      <c r="B12" s="6" t="s">
        <v>13</v>
      </c>
      <c r="C12" s="7">
        <f>782.28</f>
        <v>782.28</v>
      </c>
    </row>
    <row r="13" spans="2:3">
      <c r="B13" s="6" t="s">
        <v>14</v>
      </c>
      <c r="C13" s="7">
        <f>1162.68</f>
        <v>1162.68</v>
      </c>
    </row>
    <row r="14" spans="2:3">
      <c r="B14" s="6" t="s">
        <v>15</v>
      </c>
      <c r="C14" s="7">
        <f>408.99</f>
        <v>408.99</v>
      </c>
    </row>
    <row r="15" spans="2:3">
      <c r="B15" s="6" t="s">
        <v>16</v>
      </c>
      <c r="C15" s="7">
        <f>5420.8</f>
        <v>5420.8</v>
      </c>
    </row>
    <row r="16" spans="2:3">
      <c r="B16" s="6" t="s">
        <v>17</v>
      </c>
      <c r="C16" s="7">
        <f>62690957.07</f>
        <v>62690957.07</v>
      </c>
    </row>
    <row r="17" spans="2:3">
      <c r="B17" s="6" t="s">
        <v>18</v>
      </c>
      <c r="C17" s="7">
        <f>3036766.73</f>
        <v>3036766.73</v>
      </c>
    </row>
    <row r="18" spans="2:3">
      <c r="B18" s="6" t="s">
        <v>19</v>
      </c>
      <c r="C18" s="7">
        <f>24739314.08</f>
        <v>24739314.08</v>
      </c>
    </row>
    <row r="19" spans="2:3">
      <c r="B19" s="6" t="s">
        <v>13</v>
      </c>
      <c r="C19" s="7">
        <f>37387.7</f>
        <v>37387.7</v>
      </c>
    </row>
    <row r="20" spans="2:3">
      <c r="B20" s="6" t="s">
        <v>14</v>
      </c>
      <c r="C20" s="7">
        <f>9049600.09</f>
        <v>9049600.09</v>
      </c>
    </row>
    <row r="21" spans="2:3">
      <c r="B21" s="6" t="s">
        <v>15</v>
      </c>
      <c r="C21" s="7">
        <f>21585156.98</f>
        <v>21585156.98</v>
      </c>
    </row>
    <row r="22" spans="2:3">
      <c r="B22" s="6" t="s">
        <v>20</v>
      </c>
      <c r="C22" s="7">
        <f>2928976.61</f>
        <v>2928976.61</v>
      </c>
    </row>
    <row r="23" spans="2:3">
      <c r="B23" s="6" t="s">
        <v>18</v>
      </c>
      <c r="C23" s="7">
        <f>35789.8</f>
        <v>35789.8</v>
      </c>
    </row>
    <row r="24" spans="2:3">
      <c r="B24" s="6" t="s">
        <v>19</v>
      </c>
      <c r="C24" s="7">
        <f>555892.81</f>
        <v>555892.81</v>
      </c>
    </row>
    <row r="25" spans="2:3">
      <c r="B25" s="8" t="s">
        <v>21</v>
      </c>
      <c r="C25" s="7">
        <f>263827.18</f>
        <v>263827.18</v>
      </c>
    </row>
    <row r="26" spans="2:3">
      <c r="B26" s="6" t="s">
        <v>12</v>
      </c>
      <c r="C26" s="7">
        <f>180341.46</f>
        <v>180341.46</v>
      </c>
    </row>
    <row r="27" spans="2:3">
      <c r="B27" s="6" t="s">
        <v>14</v>
      </c>
      <c r="C27" s="7">
        <f>791508.37</f>
        <v>791508.37</v>
      </c>
    </row>
    <row r="28" spans="2:3">
      <c r="B28" s="6" t="s">
        <v>15</v>
      </c>
      <c r="C28" s="7">
        <f>296342.45</f>
        <v>296342.45</v>
      </c>
    </row>
    <row r="29" spans="2:3">
      <c r="B29" s="6" t="s">
        <v>22</v>
      </c>
      <c r="C29" s="7">
        <f>25150.43</f>
        <v>25150.43</v>
      </c>
    </row>
    <row r="30" ht="80" customHeight="1" spans="2:3">
      <c r="B30" s="9" t="s">
        <v>23</v>
      </c>
      <c r="C30" s="9"/>
    </row>
    <row r="31" ht="44" customHeight="1" spans="2:3">
      <c r="B31" s="9" t="s">
        <v>24</v>
      </c>
      <c r="C31" s="9"/>
    </row>
    <row r="32" ht="51" customHeight="1" spans="2:3">
      <c r="B32" s="9" t="s">
        <v>25</v>
      </c>
      <c r="C32" s="9"/>
    </row>
    <row r="33" ht="38.45" customHeight="1" spans="2:3">
      <c r="B33" s="10" t="s">
        <v>26</v>
      </c>
      <c r="C33" s="11"/>
    </row>
    <row r="34" ht="57.95" customHeight="1" spans="2:3">
      <c r="B34" s="9" t="s">
        <v>27</v>
      </c>
      <c r="C34" s="9"/>
    </row>
  </sheetData>
  <mergeCells count="5">
    <mergeCell ref="B2:C2"/>
    <mergeCell ref="B30:C30"/>
    <mergeCell ref="B31:C31"/>
    <mergeCell ref="B32:C32"/>
    <mergeCell ref="B34:C34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2021-07-03T09:22:08Z</dcterms:created>
  <dcterms:modified xsi:type="dcterms:W3CDTF">2021-07-03T09:22:12Z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