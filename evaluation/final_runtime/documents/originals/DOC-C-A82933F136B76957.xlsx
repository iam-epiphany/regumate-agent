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924"/>
  </bookViews>
  <sheets>
    <sheet name="人身保险公司（月度）  " sheetId="1" r:id="rId1"/>
  </sheets>
  <definedNames>
    <definedName name="_xlnm.Print_Area" localSheetId="0">'人身保险公司（月度）  '!$A$1:$C$30</definedName>
  </definedNames>
  <calcPr calcId="144525"/>
</workbook>
</file>

<file path=xl/sharedStrings.xml><?xml version="1.0" encoding="utf-8"?>
<sst xmlns="http://schemas.openxmlformats.org/spreadsheetml/2006/main" count="28">
  <si>
    <t xml:space="preserve"> </t>
  </si>
  <si>
    <t>2021年12月人身险公司经营情况表</t>
  </si>
  <si>
    <t xml:space="preserve">            </t>
  </si>
  <si>
    <t>单位:亿元、万件</t>
  </si>
  <si>
    <t>项目</t>
  </si>
  <si>
    <t>本年累计/截至当期</t>
  </si>
  <si>
    <t>原保险保费收入</t>
  </si>
  <si>
    <t>其中：寿险</t>
  </si>
  <si>
    <t xml:space="preserve">      意外险</t>
  </si>
  <si>
    <t xml:space="preserve">      健康险</t>
  </si>
  <si>
    <t>保户投资款新增交费</t>
  </si>
  <si>
    <t>投连险独立账户新增交费</t>
  </si>
  <si>
    <t>赔付支出</t>
  </si>
  <si>
    <t>保险金额</t>
  </si>
  <si>
    <t>保单件数</t>
  </si>
  <si>
    <t xml:space="preserve">      其中：普通寿险</t>
  </si>
  <si>
    <t>总资产</t>
  </si>
  <si>
    <t>注：1、本表数据是保险业执行《关于印发&lt;保险合同相关会计处理规定〉的通知》（财会[2009]15号）后，   各保险公司按照相关口径要求报送的数据。</t>
  </si>
  <si>
    <t xml:space="preserve">      2、原保险保费收入为按《企业会计准则（2006）》设置的统计指标，指保险企业确认的原保险合同保费收入。</t>
  </si>
  <si>
    <t xml:space="preserve">     3、原保险赔付支出为按《企业会计准则（2006）》设置的统计指标，指保险企业支付的原保险合同赔付款项。</t>
  </si>
  <si>
    <t xml:space="preserve">     4、原保险保费收入、原保险赔付支出、新增保险金额、新增保单件数为本年累计数，总资产为月末数据。</t>
  </si>
  <si>
    <t xml:space="preserve">     5、人身保险公司保户投资款新增交费为依据《保险合同相关会计处理规定》（财会[2009]15号），经过保险混合合同分拆、重大保险风险测试后（投连险除外），未确定为保险合同的部分，为本年度投保人交费增加金额。</t>
  </si>
  <si>
    <t xml:space="preserve">     6、人身保险公司投连险独立账户新增交费为依据《保险合同相关会计处理规定》（财会[2009]15号），投连险经过保险混合合同分拆、重大保险风险测试后，未确定为保险合同的部分，为本年度投保人交费增加金额。</t>
  </si>
  <si>
    <t xml:space="preserve">    7、上述数据来源于各公司报送的保险汇总数据，未经审计。</t>
  </si>
  <si>
    <t xml:space="preserve">    8、因部分机构目前处于风险处置阶段，从2021年6月起，人身保险公司汇总数据口径暂不包含这部分机构。</t>
  </si>
  <si>
    <t>保费收入同比</t>
  </si>
  <si>
    <t>保险金额同比</t>
  </si>
  <si>
    <t>赔付支出同比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</si>
</sst>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176" formatCode="0_ "/>
  </numFmts>
  <fonts count="28">
    <font>
      <sz val="11"/>
      <color theme="1"/>
      <name val="宋体"/>
      <charset val="134"/>
      <scheme val="minor"/>
    </font>
    <font>
      <sz val="16"/>
      <color indexed="0"/>
      <name val="仿宋_GB2312"/>
      <charset val="134"/>
    </font>
    <font>
      <sz val="16"/>
      <color theme="0" tint="-0.25"/>
      <name val="仿宋_GB2312"/>
      <charset val="134"/>
    </font>
    <font>
      <b/>
      <sz val="16"/>
      <color indexed="8"/>
      <name val="仿宋_GB2312"/>
      <charset val="134"/>
    </font>
    <font>
      <sz val="16"/>
      <color indexed="8"/>
      <name val="仿宋_GB2312"/>
      <charset val="134"/>
    </font>
    <font>
      <sz val="16"/>
      <color theme="1"/>
      <name val="仿宋_GB2312"/>
      <charset val="134"/>
    </font>
    <font>
      <sz val="16"/>
      <name val="仿宋_GB2312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2"/>
      <name val="宋体"/>
      <charset val="134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color indexed="0"/>
      <name val="Arial"/>
      <charset val="134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4" fillId="1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7" borderId="4" applyNumberFormat="0" applyFont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23" fillId="21" borderId="7" applyNumberFormat="0" applyAlignment="0" applyProtection="0">
      <alignment vertical="center"/>
    </xf>
    <xf numFmtId="0" fontId="25" fillId="21" borderId="3" applyNumberFormat="0" applyAlignment="0" applyProtection="0">
      <alignment vertical="center"/>
    </xf>
    <xf numFmtId="0" fontId="26" fillId="22" borderId="9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6" fillId="0" borderId="0">
      <alignment horizontal="left" vertical="center"/>
    </xf>
    <xf numFmtId="0" fontId="13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0" fillId="0" borderId="0"/>
    <xf numFmtId="0" fontId="16" fillId="0" borderId="0">
      <alignment horizontal="left" vertical="center"/>
    </xf>
  </cellStyleXfs>
  <cellXfs count="18">
    <xf numFmtId="0" fontId="0" fillId="0" borderId="0" xfId="0">
      <alignment vertical="center"/>
    </xf>
    <xf numFmtId="0" fontId="1" fillId="0" borderId="0" xfId="31" applyFont="1" applyFill="1">
      <alignment horizontal="left" vertical="center"/>
    </xf>
    <xf numFmtId="0" fontId="2" fillId="0" borderId="0" xfId="31" applyFont="1" applyFill="1">
      <alignment horizontal="left" vertical="center"/>
    </xf>
    <xf numFmtId="0" fontId="2" fillId="0" borderId="0" xfId="31" applyFont="1" applyFill="1" applyAlignment="1">
      <alignment horizontal="left" vertical="center" wrapText="1"/>
    </xf>
    <xf numFmtId="0" fontId="1" fillId="0" borderId="0" xfId="51" applyFont="1" applyFill="1">
      <alignment horizontal="left" vertical="center"/>
    </xf>
    <xf numFmtId="0" fontId="3" fillId="0" borderId="0" xfId="51" applyFont="1" applyFill="1" applyAlignment="1">
      <alignment horizontal="center" vertical="center"/>
    </xf>
    <xf numFmtId="0" fontId="4" fillId="0" borderId="0" xfId="51" applyFont="1" applyFill="1" applyAlignment="1">
      <alignment horizontal="right" vertical="center"/>
    </xf>
    <xf numFmtId="0" fontId="4" fillId="0" borderId="1" xfId="50" applyFont="1" applyFill="1" applyBorder="1" applyAlignment="1">
      <alignment horizontal="right" wrapText="1"/>
    </xf>
    <xf numFmtId="0" fontId="3" fillId="0" borderId="2" xfId="51" applyFont="1" applyFill="1" applyBorder="1" applyAlignment="1">
      <alignment horizontal="center" vertical="center"/>
    </xf>
    <xf numFmtId="0" fontId="1" fillId="0" borderId="2" xfId="51" applyFont="1" applyFill="1" applyBorder="1">
      <alignment horizontal="left" vertical="center"/>
    </xf>
    <xf numFmtId="176" fontId="5" fillId="0" borderId="2" xfId="51" applyNumberFormat="1" applyFont="1" applyFill="1" applyBorder="1" applyAlignment="1">
      <alignment horizontal="right" vertical="center"/>
    </xf>
    <xf numFmtId="176" fontId="1" fillId="0" borderId="2" xfId="51" applyNumberFormat="1" applyFont="1" applyFill="1" applyBorder="1" applyAlignment="1">
      <alignment horizontal="right" vertical="center"/>
    </xf>
    <xf numFmtId="0" fontId="6" fillId="0" borderId="0" xfId="50" applyFont="1" applyFill="1" applyAlignment="1">
      <alignment horizontal="left" wrapText="1"/>
    </xf>
    <xf numFmtId="0" fontId="6" fillId="0" borderId="0" xfId="50" applyFont="1" applyFill="1" applyAlignment="1">
      <alignment horizontal="left" vertical="top" wrapText="1"/>
    </xf>
    <xf numFmtId="0" fontId="6" fillId="0" borderId="0" xfId="50" applyFont="1" applyFill="1" applyAlignment="1">
      <alignment horizontal="left"/>
    </xf>
    <xf numFmtId="0" fontId="6" fillId="0" borderId="0" xfId="50" applyFont="1" applyFill="1" applyAlignment="1"/>
    <xf numFmtId="0" fontId="1" fillId="0" borderId="0" xfId="31" applyFont="1" applyFill="1" applyAlignment="1">
      <alignment horizontal="left" vertical="center" wrapText="1"/>
    </xf>
    <xf numFmtId="10" fontId="2" fillId="0" borderId="0" xfId="31" applyNumberFormat="1" applyFont="1" applyFill="1">
      <alignment horizontal="left" vertical="center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常规_lvxiaoli_2.1006保监会－寿险.险保费收入情况表（2007" xfId="31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_lvxiaoli_1.1006保监会－产险.险保费收入情况表（2007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109</xdr:row>
      <xdr:rowOff>0</xdr:rowOff>
    </xdr:from>
    <xdr:to>
      <xdr:col>1</xdr:col>
      <xdr:colOff>238125</xdr:colOff>
      <xdr:row>109</xdr:row>
      <xdr:rowOff>180975</xdr:rowOff>
    </xdr:to>
    <xdr:pic>
      <xdr:nvPicPr>
        <xdr:cNvPr id="2" name="图片 1"/>
        <xdr:cNvPicPr>
          <a:picLocks noGrp="1" noChangeAspect="1"/>
        </xdr:cNvPicPr>
      </xdr:nvPicPr>
      <xdr:blipFill>
        <a:blip r:embed="rId1"/>
        <a:stretch>
          <a:fillRect/>
        </a:stretch>
      </xdr:blipFill>
      <xdr:spPr>
        <a:xfrm>
          <a:off x="60325" y="33762950"/>
          <a:ext cx="238125" cy="1809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32"/>
  <sheetViews>
    <sheetView showGridLines="0" tabSelected="1" view="pageBreakPreview" zoomScale="70" zoomScaleNormal="100" zoomScaleSheetLayoutView="70" workbookViewId="0">
      <selection activeCell="G16" sqref="G16"/>
    </sheetView>
  </sheetViews>
  <sheetFormatPr defaultColWidth="9" defaultRowHeight="20.45" customHeight="1" outlineLevelCol="7"/>
  <cols>
    <col min="1" max="1" width="0.87962962962963" style="1" customWidth="1"/>
    <col min="2" max="2" width="54" style="1" customWidth="1"/>
    <col min="3" max="3" width="39.5" style="1" customWidth="1"/>
    <col min="4" max="4" width="9" style="1"/>
    <col min="5" max="5" width="20.8796296296296" style="2" customWidth="1"/>
    <col min="6" max="6" width="24.25" style="2" customWidth="1"/>
    <col min="7" max="7" width="60" style="3" customWidth="1"/>
    <col min="8" max="8" width="71" style="3" customWidth="1"/>
    <col min="9" max="16384" width="9" style="1"/>
  </cols>
  <sheetData>
    <row r="1" customHeight="1" spans="1:3">
      <c r="A1" s="1" t="s">
        <v>0</v>
      </c>
      <c r="B1" s="4"/>
      <c r="C1" s="4"/>
    </row>
    <row r="2" customHeight="1" spans="2:3">
      <c r="B2" s="5" t="s">
        <v>1</v>
      </c>
      <c r="C2" s="5"/>
    </row>
    <row r="3" customHeight="1" spans="2:3">
      <c r="B3" s="6" t="s">
        <v>2</v>
      </c>
      <c r="C3" s="7" t="s">
        <v>3</v>
      </c>
    </row>
    <row r="4" customHeight="1" spans="2:3">
      <c r="B4" s="8" t="s">
        <v>4</v>
      </c>
      <c r="C4" s="8" t="s">
        <v>5</v>
      </c>
    </row>
    <row r="5" customHeight="1" spans="2:3">
      <c r="B5" s="9" t="s">
        <v>6</v>
      </c>
      <c r="C5" s="10">
        <f>31223.67</f>
        <v>31223.67</v>
      </c>
    </row>
    <row r="6" customHeight="1" spans="2:3">
      <c r="B6" s="9" t="s">
        <v>7</v>
      </c>
      <c r="C6" s="11">
        <f>23571.84</f>
        <v>23571.84</v>
      </c>
    </row>
    <row r="7" customHeight="1" spans="2:3">
      <c r="B7" s="9" t="s">
        <v>8</v>
      </c>
      <c r="C7" s="11">
        <f>582.89</f>
        <v>582.89</v>
      </c>
    </row>
    <row r="8" customHeight="1" spans="2:3">
      <c r="B8" s="9" t="s">
        <v>9</v>
      </c>
      <c r="C8" s="11">
        <f>7068.94</f>
        <v>7068.94</v>
      </c>
    </row>
    <row r="9" customHeight="1" spans="2:3">
      <c r="B9" s="9" t="s">
        <v>10</v>
      </c>
      <c r="C9" s="11">
        <f>6478.52</f>
        <v>6478.52</v>
      </c>
    </row>
    <row r="10" customHeight="1" spans="2:3">
      <c r="B10" s="9" t="s">
        <v>11</v>
      </c>
      <c r="C10" s="11">
        <f>695.08</f>
        <v>695.08</v>
      </c>
    </row>
    <row r="11" customHeight="1" spans="2:3">
      <c r="B11" s="9" t="s">
        <v>12</v>
      </c>
      <c r="C11" s="11">
        <f>6760.51</f>
        <v>6760.51</v>
      </c>
    </row>
    <row r="12" customHeight="1" spans="2:3">
      <c r="B12" s="9" t="s">
        <v>13</v>
      </c>
      <c r="C12" s="11">
        <f>12859086.91</f>
        <v>12859086.91</v>
      </c>
    </row>
    <row r="13" customHeight="1" spans="2:3">
      <c r="B13" s="9" t="s">
        <v>7</v>
      </c>
      <c r="C13" s="11">
        <f>317631.26</f>
        <v>317631.26</v>
      </c>
    </row>
    <row r="14" customHeight="1" spans="2:3">
      <c r="B14" s="9" t="s">
        <v>8</v>
      </c>
      <c r="C14" s="11">
        <f>3472120.33</f>
        <v>3472120.33</v>
      </c>
    </row>
    <row r="15" customHeight="1" spans="2:3">
      <c r="B15" s="9" t="s">
        <v>9</v>
      </c>
      <c r="C15" s="11">
        <f>9069335.33</f>
        <v>9069335.33</v>
      </c>
    </row>
    <row r="16" customHeight="1" spans="2:3">
      <c r="B16" s="9" t="s">
        <v>14</v>
      </c>
      <c r="C16" s="11">
        <f>95427.44</f>
        <v>95427.44</v>
      </c>
    </row>
    <row r="17" customHeight="1" spans="2:3">
      <c r="B17" s="9" t="s">
        <v>7</v>
      </c>
      <c r="C17" s="11">
        <f>7830.72</f>
        <v>7830.72</v>
      </c>
    </row>
    <row r="18" customHeight="1" spans="2:3">
      <c r="B18" s="9" t="s">
        <v>15</v>
      </c>
      <c r="C18" s="11">
        <f>6397.32</f>
        <v>6397.32</v>
      </c>
    </row>
    <row r="19" customHeight="1" spans="2:3">
      <c r="B19" s="9" t="s">
        <v>8</v>
      </c>
      <c r="C19" s="11">
        <f>42983.05</f>
        <v>42983.05</v>
      </c>
    </row>
    <row r="20" customHeight="1" spans="2:3">
      <c r="B20" s="9" t="s">
        <v>9</v>
      </c>
      <c r="C20" s="11">
        <f>44613.67</f>
        <v>44613.67</v>
      </c>
    </row>
    <row r="21" customHeight="1" spans="2:3">
      <c r="B21" s="9" t="s">
        <v>16</v>
      </c>
      <c r="C21" s="10">
        <f>213894.93</f>
        <v>213894.93</v>
      </c>
    </row>
    <row r="22" ht="68" customHeight="1" spans="2:3">
      <c r="B22" s="12" t="s">
        <v>17</v>
      </c>
      <c r="C22" s="12"/>
    </row>
    <row r="23" ht="57.6" customHeight="1" spans="2:3">
      <c r="B23" s="12" t="s">
        <v>18</v>
      </c>
      <c r="C23" s="12"/>
    </row>
    <row r="24" ht="57.6" customHeight="1" spans="2:3">
      <c r="B24" s="12" t="s">
        <v>19</v>
      </c>
      <c r="C24" s="12"/>
    </row>
    <row r="25" ht="51" customHeight="1" spans="2:3">
      <c r="B25" s="12" t="s">
        <v>20</v>
      </c>
      <c r="C25" s="12"/>
    </row>
    <row r="26" ht="90.6" customHeight="1" spans="2:3">
      <c r="B26" s="13" t="s">
        <v>21</v>
      </c>
      <c r="C26" s="13"/>
    </row>
    <row r="27" ht="85.15" customHeight="1" spans="2:3">
      <c r="B27" s="13" t="s">
        <v>22</v>
      </c>
      <c r="C27" s="13"/>
    </row>
    <row r="28" ht="22" customHeight="1" spans="2:3">
      <c r="B28" s="14" t="s">
        <v>23</v>
      </c>
      <c r="C28" s="15"/>
    </row>
    <row r="29" ht="45" customHeight="1" spans="2:3">
      <c r="B29" s="12" t="s">
        <v>24</v>
      </c>
      <c r="C29" s="12"/>
    </row>
    <row r="30" ht="61" customHeight="1" spans="2:8">
      <c r="B30" s="16" t="str">
        <f>"    9、按可比口径，行业汇总原保险保费收入同比增长"&amp;F30&amp;"，保险金额增长"&amp;F31&amp;"，赔付支出增长"&amp;F32&amp;""</f>
        <v>    9、按可比口径，行业汇总原保险保费收入同比增长5.01%，保险金额增长9.96%，赔付支出增长14.87%</v>
      </c>
      <c r="C30" s="16"/>
      <c r="E30" s="2" t="s">
        <v>25</v>
      </c>
      <c r="F30" s="17" t="str">
        <f t="shared" ref="F30:F32" si="0">TEXT(G30/H30-1,"0.00%")</f>
        <v>5.01%</v>
      </c>
      <c r="G30" s="3">
        <f>31223.67</f>
        <v>31223.67</v>
      </c>
      <c r="H30" s="3">
        <f>29734.84</f>
        <v>29734.84</v>
      </c>
    </row>
    <row r="31" ht="96" customHeight="1" spans="5:8">
      <c r="E31" s="2" t="s">
        <v>26</v>
      </c>
      <c r="F31" s="17" t="str">
        <f t="shared" si="0"/>
        <v>9.96%</v>
      </c>
      <c r="G31" s="3">
        <f>12859086.91</f>
        <v>12859086.91</v>
      </c>
      <c r="H31" s="3">
        <f>11693933.44</f>
        <v>11693933.44</v>
      </c>
    </row>
    <row r="32" customHeight="1" spans="5:8">
      <c r="E32" s="2" t="s">
        <v>27</v>
      </c>
      <c r="F32" s="17" t="str">
        <f t="shared" si="0"/>
        <v>14.87%</v>
      </c>
      <c r="G32" s="3">
        <f>6760.51</f>
        <v>6760.51</v>
      </c>
      <c r="H32" s="3">
        <f>5885.18</f>
        <v>5885.18</v>
      </c>
    </row>
  </sheetData>
  <mergeCells count="9">
    <mergeCell ref="B2:C2"/>
    <mergeCell ref="B22:C22"/>
    <mergeCell ref="B23:C23"/>
    <mergeCell ref="B24:C24"/>
    <mergeCell ref="B25:C25"/>
    <mergeCell ref="B26:C26"/>
    <mergeCell ref="B27:C27"/>
    <mergeCell ref="B29:C29"/>
    <mergeCell ref="B30:C30"/>
  </mergeCells>
  <printOptions horizontalCentered="1"/>
  <pageMargins left="0.393055555555556" right="0.235416666666667" top="0" bottom="0" header="0.354166666666667" footer="0.511805555555556"/>
  <pageSetup paperSize="9" scale="83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人身保险公司（月度） 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2022-01-25T07:37:03Z</dcterms:created>
  <dcterms:modified xsi:type="dcterms:W3CDTF">2022-01-25T07:37:07Z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