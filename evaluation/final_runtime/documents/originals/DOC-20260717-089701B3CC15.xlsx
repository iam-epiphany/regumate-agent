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人身保险公司（月度）  " sheetId="1" r:id="rId1"/>
  </sheets>
  <definedNames>
    <definedName name="_xlnm.Print_Area" localSheetId="0">'人身保险公司（月度）  '!$A$1:$C$29</definedName>
  </definedNames>
  <calcPr calcId="144525"/>
</workbook>
</file>

<file path=xl/sharedStrings.xml><?xml version="1.0" encoding="utf-8"?>
<sst xmlns="http://schemas.openxmlformats.org/spreadsheetml/2006/main" count="25">
  <si>
    <t xml:space="preserve"> </t>
  </si>
  <si>
    <t>2021年06月人身险公司经营情况表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</si>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</sst>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</numFmts>
  <fonts count="7">
    <font>
      <sz val="11"/>
      <color indexed="8"/>
      <name val="宋体"/>
      <charset val="134"/>
    </font>
    <font>
      <sz val="16"/>
      <color indexed="0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6" fillId="0" borderId="0">
      <alignment horizontal="left"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horizontal="left" vertical="center"/>
    </xf>
  </cellStyleXfs>
  <cellXfs count="16">
    <xf numFmtId="0" fontId="0" fillId="0" borderId="0" xfId="0">
      <alignment vertical="center"/>
    </xf>
    <xf numFmtId="0" fontId="1" fillId="0" borderId="0" xfId="1" applyFont="1" applyFill="1">
      <alignment horizontal="left" vertical="center"/>
    </xf>
    <xf numFmtId="0" fontId="1" fillId="0" borderId="0" xfId="8" applyFont="1" applyFill="1">
      <alignment horizontal="left" vertical="center"/>
    </xf>
    <xf numFmtId="0" fontId="2" fillId="0" borderId="0" xfId="8" applyFont="1" applyFill="1" applyAlignment="1">
      <alignment horizontal="center" vertical="center"/>
    </xf>
    <xf numFmtId="0" fontId="3" fillId="0" borderId="0" xfId="8" applyFont="1" applyFill="1" applyAlignment="1">
      <alignment horizontal="right" vertical="center"/>
    </xf>
    <xf numFmtId="0" fontId="3" fillId="0" borderId="1" xfId="7" applyFont="1" applyFill="1" applyBorder="1" applyAlignment="1">
      <alignment horizontal="right" wrapText="1"/>
    </xf>
    <xf numFmtId="0" fontId="2" fillId="0" borderId="2" xfId="8" applyFont="1" applyFill="1" applyBorder="1" applyAlignment="1">
      <alignment horizontal="center" vertical="center"/>
    </xf>
    <xf numFmtId="0" fontId="1" fillId="0" borderId="2" xfId="8" applyFont="1" applyFill="1" applyBorder="1">
      <alignment horizontal="left" vertical="center"/>
    </xf>
    <xf numFmtId="176" fontId="3" fillId="0" borderId="2" xfId="8" applyNumberFormat="1" applyFont="1" applyFill="1" applyBorder="1" applyAlignment="1">
      <alignment horizontal="right" vertical="center"/>
    </xf>
    <xf numFmtId="176" fontId="1" fillId="0" borderId="2" xfId="8" applyNumberFormat="1" applyFont="1" applyFill="1" applyBorder="1" applyAlignment="1">
      <alignment horizontal="right" vertical="center"/>
    </xf>
    <xf numFmtId="10" fontId="1" fillId="0" borderId="0" xfId="1" applyNumberFormat="1" applyFont="1" applyFill="1">
      <alignment horizontal="left" vertical="center"/>
    </xf>
    <xf numFmtId="0" fontId="4" fillId="0" borderId="0" xfId="7" applyFont="1" applyFill="1" applyAlignment="1">
      <alignment horizontal="left" wrapText="1"/>
    </xf>
    <xf numFmtId="0" fontId="4" fillId="0" borderId="0" xfId="7" applyFont="1" applyFill="1" applyAlignment="1">
      <alignment horizontal="left" vertical="top" wrapText="1"/>
    </xf>
    <xf numFmtId="0" fontId="4" fillId="0" borderId="0" xfId="7" applyFont="1" applyFill="1" applyAlignment="1">
      <alignment horizontal="left"/>
    </xf>
    <xf numFmtId="0" fontId="4" fillId="0" borderId="0" xfId="7" applyFont="1" applyFill="1" applyAlignment="1"/>
    <xf numFmtId="0" fontId="3" fillId="0" borderId="0" xfId="7" applyFont="1" applyFill="1" applyAlignment="1">
      <alignment horizontal="left" wrapText="1"/>
    </xf>
  </cellXfs>
  <cellStyles count="9">
    <cellStyle name="常规" xfId="0" builtinId="0"/>
    <cellStyle name="常规_lvxiaoli_2.1006保监会－寿险.险保费收入情况表（2007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  <cellStyle name="常规 2" xfId="7"/>
    <cellStyle name="常规_lvxiaoli_1.1006保监会－产险.险保费收入情况表（2007" xfId="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9"/>
  <sheetViews>
    <sheetView showGridLines="0" tabSelected="1" view="pageBreakPreview" zoomScale="70" zoomScaleNormal="100" zoomScaleSheetLayoutView="70" workbookViewId="0">
      <selection activeCell="G4" sqref="G4"/>
    </sheetView>
  </sheetViews>
  <sheetFormatPr defaultColWidth="9" defaultRowHeight="20.45" customHeight="1" outlineLevelCol="4"/>
  <cols>
    <col min="1" max="1" width="0.87962962962963" style="1" customWidth="1"/>
    <col min="2" max="2" width="36.7592592592593" style="1" customWidth="1"/>
    <col min="3" max="3" width="51.462962962963" style="1" customWidth="1"/>
    <col min="4" max="4" width="14.7777777777778" style="1"/>
    <col min="5" max="5" width="20" style="1"/>
    <col min="6" max="16384" width="9" style="1"/>
  </cols>
  <sheetData>
    <row r="1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customHeight="1" spans="2:3">
      <c r="B3" s="4" t="s">
        <v>2</v>
      </c>
      <c r="C3" s="5" t="s">
        <v>3</v>
      </c>
    </row>
    <row r="4" customHeight="1" spans="2:3">
      <c r="B4" s="6" t="s">
        <v>4</v>
      </c>
      <c r="C4" s="6" t="s">
        <v>5</v>
      </c>
    </row>
    <row r="5" customHeight="1" spans="2:3">
      <c r="B5" s="7" t="s">
        <v>6</v>
      </c>
      <c r="C5" s="8">
        <f>21166-(1090.28+319.85)</f>
        <v>19755.87</v>
      </c>
    </row>
    <row r="6" customHeight="1" spans="2:3">
      <c r="B6" s="7" t="s">
        <v>7</v>
      </c>
      <c r="C6" s="9">
        <f>16528.29-(952.94+274.42)</f>
        <v>15300.93</v>
      </c>
    </row>
    <row r="7" customHeight="1" spans="2:3">
      <c r="B7" s="7" t="s">
        <v>8</v>
      </c>
      <c r="C7" s="9">
        <f>325.06-(3.68+0.15)</f>
        <v>321.23</v>
      </c>
    </row>
    <row r="8" customHeight="1" spans="2:3">
      <c r="B8" s="7" t="s">
        <v>9</v>
      </c>
      <c r="C8" s="9">
        <f>4312.65-(133.66+45.29)</f>
        <v>4133.7</v>
      </c>
    </row>
    <row r="9" customHeight="1" spans="2:3">
      <c r="B9" s="7" t="s">
        <v>10</v>
      </c>
      <c r="C9" s="9">
        <f>3847.62-(340.78+64.18)</f>
        <v>3442.66</v>
      </c>
    </row>
    <row r="10" customHeight="1" spans="2:3">
      <c r="B10" s="7" t="s">
        <v>11</v>
      </c>
      <c r="C10" s="9">
        <f>383.97-(0+0)</f>
        <v>383.97</v>
      </c>
    </row>
    <row r="11" customHeight="1" spans="2:3">
      <c r="B11" s="7" t="s">
        <v>12</v>
      </c>
      <c r="C11" s="9">
        <f>3703.77-(49.37+20.46)</f>
        <v>3633.94</v>
      </c>
    </row>
    <row r="12" customHeight="1" spans="2:3">
      <c r="B12" s="7" t="s">
        <v>13</v>
      </c>
      <c r="C12" s="9">
        <f>7688283.46-(46283.71+1225)</f>
        <v>7640774.75</v>
      </c>
    </row>
    <row r="13" customHeight="1" spans="2:3">
      <c r="B13" s="7" t="s">
        <v>7</v>
      </c>
      <c r="C13" s="9">
        <f>154565.27-(1232.69+238.68)</f>
        <v>153093.9</v>
      </c>
    </row>
    <row r="14" customHeight="1" spans="2:3">
      <c r="B14" s="7" t="s">
        <v>8</v>
      </c>
      <c r="C14" s="9">
        <f>2133561.67-(42360.83+17.57)</f>
        <v>2091183.27</v>
      </c>
    </row>
    <row r="15" customHeight="1" spans="2:3">
      <c r="B15" s="7" t="s">
        <v>9</v>
      </c>
      <c r="C15" s="9">
        <f>5400156.52-(2690.18+968.75)</f>
        <v>5396497.59</v>
      </c>
    </row>
    <row r="16" customHeight="1" spans="2:3">
      <c r="B16" s="7" t="s">
        <v>14</v>
      </c>
      <c r="C16" s="9">
        <f>42498.22-(1012.15+44.45)</f>
        <v>41441.62</v>
      </c>
    </row>
    <row r="17" customHeight="1" spans="2:3">
      <c r="B17" s="7" t="s">
        <v>7</v>
      </c>
      <c r="C17" s="9">
        <f>3416.32-(111.3+25.78)</f>
        <v>3279.24</v>
      </c>
    </row>
    <row r="18" customHeight="1" spans="2:3">
      <c r="B18" s="7" t="s">
        <v>15</v>
      </c>
      <c r="C18" s="9">
        <f>2572.08-(67.73+22.38)</f>
        <v>2481.97</v>
      </c>
    </row>
    <row r="19" customHeight="1" spans="2:3">
      <c r="B19" s="7" t="s">
        <v>8</v>
      </c>
      <c r="C19" s="9">
        <f>19977.47-(589.61+0.04)</f>
        <v>19387.82</v>
      </c>
    </row>
    <row r="20" customHeight="1" spans="2:3">
      <c r="B20" s="7" t="s">
        <v>9</v>
      </c>
      <c r="C20" s="9">
        <f>19104.43-(311.24+18.63)</f>
        <v>18774.56</v>
      </c>
    </row>
    <row r="21" customHeight="1" spans="2:5">
      <c r="B21" s="7" t="s">
        <v>16</v>
      </c>
      <c r="C21" s="8">
        <f>211726.26-(6036.56+1819.98)</f>
        <v>203869.72</v>
      </c>
      <c r="E21" s="10"/>
    </row>
    <row r="22" ht="61" customHeight="1" spans="2:3">
      <c r="B22" s="11" t="s">
        <v>17</v>
      </c>
      <c r="C22" s="11"/>
    </row>
    <row r="23" ht="57.6" customHeight="1" spans="2:3">
      <c r="B23" s="11" t="s">
        <v>18</v>
      </c>
      <c r="C23" s="11"/>
    </row>
    <row r="24" ht="57.6" customHeight="1" spans="2:3">
      <c r="B24" s="11" t="s">
        <v>19</v>
      </c>
      <c r="C24" s="11"/>
    </row>
    <row r="25" ht="57.6" customHeight="1" spans="2:3">
      <c r="B25" s="11" t="s">
        <v>20</v>
      </c>
      <c r="C25" s="11"/>
    </row>
    <row r="26" ht="90.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0.4" spans="2:3">
      <c r="B28" s="13" t="s">
        <v>23</v>
      </c>
      <c r="C28" s="14"/>
    </row>
    <row r="29" ht="46" customHeight="1" spans="2:3">
      <c r="B29" s="15" t="s">
        <v>24</v>
      </c>
      <c r="C29" s="15"/>
    </row>
  </sheetData>
  <mergeCells count="8">
    <mergeCell ref="B2:C2"/>
    <mergeCell ref="B22:C22"/>
    <mergeCell ref="B23:C23"/>
    <mergeCell ref="B24:C24"/>
    <mergeCell ref="B25:C25"/>
    <mergeCell ref="B26:C26"/>
    <mergeCell ref="B27:C27"/>
    <mergeCell ref="B29:C29"/>
  </mergeCells>
  <printOptions horizontalCentered="1"/>
  <pageMargins left="0.393055555555556" right="0.235416666666667" top="0" bottom="0" header="0.354166666666667" footer="0.511805555555556"/>
  <pageSetup paperSize="9" scale="90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2021-08-05T08:12:17Z</dcterms:created>
  <dcterms:modified xsi:type="dcterms:W3CDTF">2021-08-05T08:12:23Z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