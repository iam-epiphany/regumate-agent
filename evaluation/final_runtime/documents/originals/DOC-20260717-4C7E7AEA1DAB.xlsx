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80" windowHeight="9684"/>
  </bookViews>
  <sheets>
    <sheet name="产险公司数据（月度）  " sheetId="1" r:id="rId1"/>
  </sheets>
  <definedNames>
    <definedName name="_xlnm.Print_Area" localSheetId="0">'产险公司数据（月度）  '!$A$1:$C$34</definedName>
  </definedNames>
  <calcPr calcId="144525"/>
</workbook>
</file>

<file path=xl/sharedStrings.xml><?xml version="1.0" encoding="utf-8"?>
<sst xmlns="http://schemas.openxmlformats.org/spreadsheetml/2006/main" count="28">
  <si>
    <t xml:space="preserve"> </t>
  </si>
  <si>
    <t>2021年09月财产保险公司经营情况表</t>
  </si>
  <si>
    <t xml:space="preserve">               </t>
  </si>
  <si>
    <t>单位:亿元、万件</t>
  </si>
  <si>
    <t>项目</t>
  </si>
  <si>
    <t>本年累计/截至当期</t>
  </si>
  <si>
    <t>原保险保费收入</t>
  </si>
  <si>
    <t>其中：企业财产保险</t>
  </si>
  <si>
    <t xml:space="preserve">      家庭财产保险</t>
  </si>
  <si>
    <t xml:space="preserve">      机动车辆保险</t>
  </si>
  <si>
    <t xml:space="preserve">      工程保险</t>
  </si>
  <si>
    <t xml:space="preserve">      责任保险</t>
  </si>
  <si>
    <t xml:space="preserve">      保证保险</t>
  </si>
  <si>
    <t xml:space="preserve">      农业保险</t>
  </si>
  <si>
    <t xml:space="preserve">      健康险</t>
  </si>
  <si>
    <t xml:space="preserve">      意外险</t>
  </si>
  <si>
    <t>赔款支出</t>
  </si>
  <si>
    <t>保险金额</t>
  </si>
  <si>
    <t>其中：机动车辆保险</t>
  </si>
  <si>
    <t xml:space="preserve">      责任险</t>
  </si>
  <si>
    <t>保单件数</t>
  </si>
  <si>
    <t xml:space="preserve">      货运险</t>
  </si>
  <si>
    <t>总资产</t>
  </si>
  <si>
    <t>注：1、本表数据是保险业执行《关于印发&lt;保险合同相关会计处理规定〉的通知》（财会[2009]15号）后，各保险公司按照相关口径要求报送的汇总数据。</t>
  </si>
  <si>
    <t xml:space="preserve">    2、原保险保费收入为按《企业会计准则（2006）》设置的统计指标，指保险企业确认的原保险合同保费收入。</t>
  </si>
  <si>
    <t xml:space="preserve">    3、原保险保费收入、赔款支出、保险金额、签单数量为本年累计数，总资产为月末数据。</t>
  </si>
  <si>
    <t xml:space="preserve">    4、上述数据来源于各公司报送的保险汇总数据，未经审计。</t>
  </si>
  <si>
    <t xml:space="preserve">    5、因部分机构目前处于风险处置阶段，从2021年6月起，财产保险公司汇总数据口径暂不包含这部分机构。</t>
  </si>
</sst>
</file>

<file path=xl/styles.xml><?xml version="1.0" encoding="utf-8"?>
<styleSheet xmlns="http://schemas.openxmlformats.org/spreadsheetml/2006/main">
  <numFmts count="5">
    <numFmt numFmtId="176" formatCode="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6"/>
      <color theme="1"/>
      <name val="仿宋_GB2312"/>
      <charset val="134"/>
    </font>
    <font>
      <b/>
      <sz val="18"/>
      <color theme="1"/>
      <name val="仿宋_GB2312"/>
      <charset val="134"/>
    </font>
    <font>
      <b/>
      <sz val="16"/>
      <color theme="1"/>
      <name val="仿宋_GB2312"/>
      <charset val="134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sz val="9"/>
      <color indexed="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4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0" fillId="13" borderId="9" applyNumberFormat="0" applyAlignment="0" applyProtection="0">
      <alignment vertical="center"/>
    </xf>
    <xf numFmtId="0" fontId="18" fillId="13" borderId="3" applyNumberFormat="0" applyAlignment="0" applyProtection="0">
      <alignment vertical="center"/>
    </xf>
    <xf numFmtId="0" fontId="7" fillId="4" borderId="6" applyNumberForma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3" fillId="0" borderId="0"/>
    <xf numFmtId="0" fontId="24" fillId="0" borderId="0">
      <alignment horizontal="left" vertical="center"/>
    </xf>
  </cellStyleXfs>
  <cellXfs count="12">
    <xf numFmtId="0" fontId="0" fillId="0" borderId="0" xfId="0">
      <alignment vertical="center"/>
    </xf>
    <xf numFmtId="0" fontId="1" fillId="0" borderId="0" xfId="50" applyFont="1" applyFill="1">
      <alignment horizontal="left" vertical="center"/>
    </xf>
    <xf numFmtId="0" fontId="2" fillId="0" borderId="0" xfId="50" applyFont="1" applyFill="1" applyAlignment="1">
      <alignment horizontal="center" vertical="center"/>
    </xf>
    <xf numFmtId="0" fontId="1" fillId="0" borderId="0" xfId="50" applyFont="1" applyFill="1" applyAlignment="1">
      <alignment horizontal="right" vertical="center"/>
    </xf>
    <xf numFmtId="0" fontId="1" fillId="0" borderId="0" xfId="49" applyFont="1" applyFill="1" applyBorder="1" applyAlignment="1">
      <alignment horizontal="right" wrapText="1"/>
    </xf>
    <xf numFmtId="0" fontId="3" fillId="0" borderId="1" xfId="50" applyFont="1" applyFill="1" applyBorder="1" applyAlignment="1">
      <alignment horizontal="center" vertical="center"/>
    </xf>
    <xf numFmtId="0" fontId="1" fillId="0" borderId="1" xfId="50" applyFont="1" applyFill="1" applyBorder="1">
      <alignment horizontal="left" vertical="center"/>
    </xf>
    <xf numFmtId="176" fontId="1" fillId="0" borderId="1" xfId="50" applyNumberFormat="1" applyFont="1" applyFill="1" applyBorder="1" applyAlignment="1">
      <alignment horizontal="right" vertical="center"/>
    </xf>
    <xf numFmtId="0" fontId="1" fillId="0" borderId="1" xfId="50" applyFont="1" applyFill="1" applyBorder="1" applyAlignment="1">
      <alignment horizontal="left" vertical="center"/>
    </xf>
    <xf numFmtId="0" fontId="1" fillId="0" borderId="0" xfId="49" applyFont="1" applyFill="1" applyAlignment="1">
      <alignment horizontal="left" wrapText="1"/>
    </xf>
    <xf numFmtId="0" fontId="1" fillId="0" borderId="0" xfId="49" applyFont="1" applyFill="1" applyAlignment="1">
      <alignment horizontal="left"/>
    </xf>
    <xf numFmtId="0" fontId="1" fillId="0" borderId="0" xfId="49" applyFont="1" applyFill="1" applyAlignment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_lvxiaoli_1.1006保监会－产险.险保费收入情况表（2007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34"/>
  <sheetViews>
    <sheetView showGridLines="0" tabSelected="1" view="pageBreakPreview" zoomScale="70" zoomScaleNormal="100" zoomScaleSheetLayoutView="70" workbookViewId="0">
      <selection activeCell="I30" sqref="I30"/>
    </sheetView>
  </sheetViews>
  <sheetFormatPr defaultColWidth="9" defaultRowHeight="20.4" outlineLevelCol="2"/>
  <cols>
    <col min="1" max="1" width="1.75" style="1" customWidth="1"/>
    <col min="2" max="2" width="49.75" style="1" customWidth="1"/>
    <col min="3" max="3" width="42.6944444444444" style="1" customWidth="1"/>
    <col min="4" max="16384" width="9" style="1"/>
  </cols>
  <sheetData>
    <row r="1" spans="1:1">
      <c r="A1" s="1" t="s">
        <v>0</v>
      </c>
    </row>
    <row r="2" ht="22.2" spans="2:3">
      <c r="B2" s="2" t="s">
        <v>1</v>
      </c>
      <c r="C2" s="2"/>
    </row>
    <row r="3" spans="2:3">
      <c r="B3" s="3" t="s">
        <v>2</v>
      </c>
      <c r="C3" s="4" t="s">
        <v>3</v>
      </c>
    </row>
    <row r="4" spans="2:3">
      <c r="B4" s="5" t="s">
        <v>4</v>
      </c>
      <c r="C4" s="5" t="s">
        <v>5</v>
      </c>
    </row>
    <row r="5" spans="2:3">
      <c r="B5" s="6" t="s">
        <v>6</v>
      </c>
      <c r="C5" s="7">
        <f>10482.05</f>
        <v>10482.05</v>
      </c>
    </row>
    <row r="6" spans="2:3">
      <c r="B6" s="6" t="s">
        <v>7</v>
      </c>
      <c r="C6" s="7">
        <f>444.11</f>
        <v>444.11</v>
      </c>
    </row>
    <row r="7" spans="2:3">
      <c r="B7" s="6" t="s">
        <v>8</v>
      </c>
      <c r="C7" s="7">
        <f>79.06</f>
        <v>79.06</v>
      </c>
    </row>
    <row r="8" spans="2:3">
      <c r="B8" s="6" t="s">
        <v>9</v>
      </c>
      <c r="C8" s="7">
        <f>5622.44</f>
        <v>5622.44</v>
      </c>
    </row>
    <row r="9" spans="2:3">
      <c r="B9" s="6" t="s">
        <v>10</v>
      </c>
      <c r="C9" s="7">
        <f>122.34</f>
        <v>122.34</v>
      </c>
    </row>
    <row r="10" spans="2:3">
      <c r="B10" s="6" t="s">
        <v>11</v>
      </c>
      <c r="C10" s="7">
        <f>811.46</f>
        <v>811.46</v>
      </c>
    </row>
    <row r="11" spans="2:3">
      <c r="B11" s="6" t="s">
        <v>12</v>
      </c>
      <c r="C11" s="7">
        <f>397.74</f>
        <v>397.74</v>
      </c>
    </row>
    <row r="12" spans="2:3">
      <c r="B12" s="6" t="s">
        <v>13</v>
      </c>
      <c r="C12" s="7">
        <f>843.34</f>
        <v>843.34</v>
      </c>
    </row>
    <row r="13" spans="2:3">
      <c r="B13" s="6" t="s">
        <v>14</v>
      </c>
      <c r="C13" s="7">
        <f>1218.82</f>
        <v>1218.82</v>
      </c>
    </row>
    <row r="14" spans="2:3">
      <c r="B14" s="6" t="s">
        <v>15</v>
      </c>
      <c r="C14" s="7">
        <f>481.53</f>
        <v>481.53</v>
      </c>
    </row>
    <row r="15" spans="2:3">
      <c r="B15" s="6" t="s">
        <v>16</v>
      </c>
      <c r="C15" s="7">
        <f>6197.58</f>
        <v>6197.58</v>
      </c>
    </row>
    <row r="16" spans="2:3">
      <c r="B16" s="6" t="s">
        <v>17</v>
      </c>
      <c r="C16" s="7">
        <f>72761675</f>
        <v>72761675</v>
      </c>
    </row>
    <row r="17" spans="2:3">
      <c r="B17" s="6" t="s">
        <v>18</v>
      </c>
      <c r="C17" s="7">
        <f>3510401.79</f>
        <v>3510401.79</v>
      </c>
    </row>
    <row r="18" spans="2:3">
      <c r="B18" s="6" t="s">
        <v>19</v>
      </c>
      <c r="C18" s="7">
        <f>29898485.1</f>
        <v>29898485.1</v>
      </c>
    </row>
    <row r="19" spans="2:3">
      <c r="B19" s="6" t="s">
        <v>13</v>
      </c>
      <c r="C19" s="7">
        <f>40148.11</f>
        <v>40148.11</v>
      </c>
    </row>
    <row r="20" spans="2:3">
      <c r="B20" s="6" t="s">
        <v>14</v>
      </c>
      <c r="C20" s="7">
        <f>9686565.29</f>
        <v>9686565.29</v>
      </c>
    </row>
    <row r="21" spans="2:3">
      <c r="B21" s="6" t="s">
        <v>15</v>
      </c>
      <c r="C21" s="7">
        <f>24874619.8</f>
        <v>24874619.8</v>
      </c>
    </row>
    <row r="22" spans="2:3">
      <c r="B22" s="6" t="s">
        <v>20</v>
      </c>
      <c r="C22" s="7">
        <f>3376392.73</f>
        <v>3376392.73</v>
      </c>
    </row>
    <row r="23" spans="2:3">
      <c r="B23" s="6" t="s">
        <v>18</v>
      </c>
      <c r="C23" s="7">
        <f>40704.05</f>
        <v>40704.05</v>
      </c>
    </row>
    <row r="24" spans="2:3">
      <c r="B24" s="6" t="s">
        <v>19</v>
      </c>
      <c r="C24" s="7">
        <f>656577.53</f>
        <v>656577.53</v>
      </c>
    </row>
    <row r="25" spans="2:3">
      <c r="B25" s="8" t="s">
        <v>21</v>
      </c>
      <c r="C25" s="7">
        <f>299871.2</f>
        <v>299871.2</v>
      </c>
    </row>
    <row r="26" spans="2:3">
      <c r="B26" s="6" t="s">
        <v>12</v>
      </c>
      <c r="C26" s="7">
        <f>196255.22</f>
        <v>196255.22</v>
      </c>
    </row>
    <row r="27" spans="2:3">
      <c r="B27" s="6" t="s">
        <v>14</v>
      </c>
      <c r="C27" s="7">
        <f>905653.19</f>
        <v>905653.19</v>
      </c>
    </row>
    <row r="28" spans="2:3">
      <c r="B28" s="6" t="s">
        <v>15</v>
      </c>
      <c r="C28" s="7">
        <f>347947.44</f>
        <v>347947.44</v>
      </c>
    </row>
    <row r="29" spans="2:3">
      <c r="B29" s="6" t="s">
        <v>22</v>
      </c>
      <c r="C29" s="7">
        <f>25191.26</f>
        <v>25191.26</v>
      </c>
    </row>
    <row r="30" ht="67.9" customHeight="1" spans="2:3">
      <c r="B30" s="9" t="s">
        <v>23</v>
      </c>
      <c r="C30" s="9"/>
    </row>
    <row r="31" ht="49" customHeight="1" spans="2:3">
      <c r="B31" s="9" t="s">
        <v>24</v>
      </c>
      <c r="C31" s="9"/>
    </row>
    <row r="32" ht="48" customHeight="1" spans="2:3">
      <c r="B32" s="9" t="s">
        <v>25</v>
      </c>
      <c r="C32" s="9"/>
    </row>
    <row r="33" ht="38.45" customHeight="1" spans="2:3">
      <c r="B33" s="10" t="s">
        <v>26</v>
      </c>
      <c r="C33" s="11"/>
    </row>
    <row r="34" ht="57.95" customHeight="1" spans="2:3">
      <c r="B34" s="9" t="s">
        <v>27</v>
      </c>
      <c r="C34" s="9"/>
    </row>
  </sheetData>
  <mergeCells count="5">
    <mergeCell ref="B2:C2"/>
    <mergeCell ref="B30:C30"/>
    <mergeCell ref="B31:C31"/>
    <mergeCell ref="B32:C32"/>
    <mergeCell ref="B34:C34"/>
  </mergeCells>
  <printOptions horizontalCentered="1"/>
  <pageMargins left="0" right="0" top="0.393055555555556" bottom="0" header="0.511805555555556" footer="0.511805555555556"/>
  <pageSetup paperSize="9" scale="9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产险公司数据（月度）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2021-10-25T08:34:09Z</dcterms:created>
  <dcterms:modified xsi:type="dcterms:W3CDTF">2021-10-25T08:34:27Z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