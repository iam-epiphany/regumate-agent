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924"/>
  </bookViews>
  <sheets>
    <sheet name="产险公司数据（月度）  " sheetId="1" r:id="rId1"/>
  </sheets>
  <definedNames>
    <definedName name="_xlnm.Print_Area" localSheetId="0">'产险公司数据（月度）  '!$A$1:$C$35</definedName>
  </definedNames>
  <calcPr calcId="144525"/>
</workbook>
</file>

<file path=xl/sharedStrings.xml><?xml version="1.0" encoding="utf-8"?>
<sst xmlns="http://schemas.openxmlformats.org/spreadsheetml/2006/main" count="31">
  <si>
    <t xml:space="preserve"> </t>
  </si>
  <si>
    <t>2021年12月财产保险公司经营情况表</t>
  </si>
  <si>
    <t xml:space="preserve">               </t>
  </si>
  <si>
    <t>单位:亿元、万件</t>
  </si>
  <si>
    <t>项目</t>
  </si>
  <si>
    <t>本年累计/截至当期</t>
  </si>
  <si>
    <t>原保险保费收入</t>
  </si>
  <si>
    <t>其中：企业财产保险</t>
  </si>
  <si>
    <t xml:space="preserve">      家庭财产保险</t>
  </si>
  <si>
    <t xml:space="preserve">      机动车辆保险</t>
  </si>
  <si>
    <t xml:space="preserve">      工程保险</t>
  </si>
  <si>
    <t xml:space="preserve">      责任保险</t>
  </si>
  <si>
    <t xml:space="preserve">      保证保险</t>
  </si>
  <si>
    <t xml:space="preserve">      农业保险</t>
  </si>
  <si>
    <t xml:space="preserve">      健康险</t>
  </si>
  <si>
    <t xml:space="preserve">      意外险</t>
  </si>
  <si>
    <t>赔款支出</t>
  </si>
  <si>
    <t>保险金额</t>
  </si>
  <si>
    <t>其中：机动车辆保险</t>
  </si>
  <si>
    <t xml:space="preserve">      责任险</t>
  </si>
  <si>
    <t>保单件数</t>
  </si>
  <si>
    <t xml:space="preserve">      货运险</t>
  </si>
  <si>
    <t>总资产</t>
  </si>
  <si>
    <t>注：1、本表数据是保险业执行《关于印发&lt;保险合同相关会计处理规定〉的通知》（财会[2009]15号）后，各保险公司按照相关口径要求报送的汇总数据。</t>
  </si>
  <si>
    <t xml:space="preserve">    2、原保险保费收入为按《企业会计准则（2006）》设置的统计指标，指保险企业确认的原保险合同保费收入。</t>
  </si>
  <si>
    <t xml:space="preserve">    3、原保险保费收入、赔款支出、保险金额、签单数量为本年累计数，总资产为月末数据。</t>
  </si>
  <si>
    <t xml:space="preserve">    4、上述数据来源于各公司报送的保险汇总数据，未经审计。</t>
  </si>
  <si>
    <t>保费收入同比</t>
  </si>
  <si>
    <t xml:space="preserve">    5、因部分机构目前处于风险处置阶段，从2021年6月起，财产保险公司汇总数据口径暂不包含这部分机构。</t>
  </si>
  <si>
    <t>保险金额同比</t>
  </si>
  <si>
    <t>赔付支出同比</t>
  </si>
</sst>
</file>

<file path=xl/styles.xml><?xml version="1.0" encoding="utf-8"?>
<styleSheet xmlns="http://schemas.openxmlformats.org/spreadsheetml/2006/main">
  <numFmts count="5">
    <numFmt numFmtId="176" formatCode="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6"/>
      <color theme="1"/>
      <name val="仿宋_GB2312"/>
      <charset val="134"/>
    </font>
    <font>
      <sz val="16"/>
      <color theme="0" tint="-0.25"/>
      <name val="仿宋_GB2312"/>
      <charset val="134"/>
    </font>
    <font>
      <b/>
      <sz val="18"/>
      <color theme="1"/>
      <name val="仿宋_GB2312"/>
      <charset val="134"/>
    </font>
    <font>
      <b/>
      <sz val="16"/>
      <color theme="1"/>
      <name val="仿宋_GB2312"/>
      <charset val="134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9"/>
      <color indexed="0"/>
      <name val="Arial"/>
      <charset val="134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5" fillId="15" borderId="4" applyNumberFormat="0" applyAlignment="0" applyProtection="0">
      <alignment vertical="center"/>
    </xf>
    <xf numFmtId="0" fontId="20" fillId="15" borderId="3" applyNumberFormat="0" applyAlignment="0" applyProtection="0">
      <alignment vertical="center"/>
    </xf>
    <xf numFmtId="0" fontId="22" fillId="20" borderId="8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8" fillId="0" borderId="0"/>
    <xf numFmtId="0" fontId="21" fillId="0" borderId="0">
      <alignment horizontal="left" vertical="center"/>
    </xf>
  </cellStyleXfs>
  <cellXfs count="16">
    <xf numFmtId="0" fontId="0" fillId="0" borderId="0" xfId="0">
      <alignment vertical="center"/>
    </xf>
    <xf numFmtId="0" fontId="1" fillId="0" borderId="0" xfId="50" applyFont="1" applyFill="1">
      <alignment horizontal="left" vertical="center"/>
    </xf>
    <xf numFmtId="0" fontId="2" fillId="0" borderId="0" xfId="50" applyFont="1" applyFill="1">
      <alignment horizontal="left" vertical="center"/>
    </xf>
    <xf numFmtId="0" fontId="2" fillId="0" borderId="0" xfId="50" applyFont="1" applyFill="1" applyAlignment="1">
      <alignment horizontal="left" vertical="center" wrapText="1"/>
    </xf>
    <xf numFmtId="0" fontId="3" fillId="0" borderId="0" xfId="50" applyFont="1" applyFill="1" applyAlignment="1">
      <alignment horizontal="center" vertical="center"/>
    </xf>
    <xf numFmtId="0" fontId="1" fillId="0" borderId="0" xfId="50" applyFont="1" applyFill="1" applyAlignment="1">
      <alignment horizontal="right" vertical="center"/>
    </xf>
    <xf numFmtId="0" fontId="1" fillId="0" borderId="0" xfId="49" applyFont="1" applyFill="1" applyBorder="1" applyAlignment="1">
      <alignment horizontal="right" wrapText="1"/>
    </xf>
    <xf numFmtId="0" fontId="4" fillId="0" borderId="1" xfId="50" applyFont="1" applyFill="1" applyBorder="1" applyAlignment="1">
      <alignment horizontal="center" vertical="center"/>
    </xf>
    <xf numFmtId="0" fontId="1" fillId="0" borderId="1" xfId="50" applyFont="1" applyFill="1" applyBorder="1">
      <alignment horizontal="left" vertical="center"/>
    </xf>
    <xf numFmtId="176" fontId="1" fillId="0" borderId="1" xfId="50" applyNumberFormat="1" applyFont="1" applyFill="1" applyBorder="1" applyAlignment="1">
      <alignment horizontal="right" vertical="center"/>
    </xf>
    <xf numFmtId="0" fontId="1" fillId="0" borderId="1" xfId="50" applyFont="1" applyFill="1" applyBorder="1" applyAlignment="1">
      <alignment horizontal="left" vertical="center"/>
    </xf>
    <xf numFmtId="0" fontId="1" fillId="0" borderId="0" xfId="49" applyFont="1" applyFill="1" applyAlignment="1">
      <alignment horizontal="left" wrapText="1"/>
    </xf>
    <xf numFmtId="0" fontId="1" fillId="0" borderId="0" xfId="49" applyFont="1" applyFill="1" applyAlignment="1">
      <alignment horizontal="left"/>
    </xf>
    <xf numFmtId="0" fontId="1" fillId="0" borderId="0" xfId="49" applyFont="1" applyFill="1" applyAlignment="1"/>
    <xf numFmtId="10" fontId="2" fillId="0" borderId="0" xfId="50" applyNumberFormat="1" applyFont="1" applyFill="1">
      <alignment horizontal="left" vertical="center"/>
    </xf>
    <xf numFmtId="0" fontId="1" fillId="0" borderId="0" xfId="50" applyFont="1" applyFill="1" applyAlignment="1">
      <alignment horizontal="left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_lvxiaoli_1.1006保监会－产险.险保费收入情况表（2007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35"/>
  <sheetViews>
    <sheetView showGridLines="0" tabSelected="1" view="pageBreakPreview" zoomScale="115" zoomScaleNormal="100" zoomScaleSheetLayoutView="115" workbookViewId="0">
      <selection activeCell="F9" sqref="F9"/>
    </sheetView>
  </sheetViews>
  <sheetFormatPr defaultColWidth="9" defaultRowHeight="20.4"/>
  <cols>
    <col min="1" max="1" width="1.75" style="1" customWidth="1"/>
    <col min="2" max="2" width="49.75" style="1" customWidth="1"/>
    <col min="3" max="3" width="38.1296296296296" style="1" customWidth="1"/>
    <col min="4" max="5" width="9" style="1"/>
    <col min="6" max="6" width="9" style="2"/>
    <col min="7" max="7" width="19" style="2" customWidth="1"/>
    <col min="8" max="8" width="18.75" style="2" customWidth="1"/>
    <col min="9" max="9" width="66.3796296296296" style="2" customWidth="1"/>
    <col min="10" max="10" width="71" style="3" customWidth="1"/>
    <col min="11" max="16384" width="9" style="1"/>
  </cols>
  <sheetData>
    <row r="1" spans="1:1">
      <c r="A1" s="1" t="s">
        <v>0</v>
      </c>
    </row>
    <row r="2" ht="22.2" spans="2:3">
      <c r="B2" s="4" t="s">
        <v>1</v>
      </c>
      <c r="C2" s="4"/>
    </row>
    <row r="3" spans="2:3">
      <c r="B3" s="5" t="s">
        <v>2</v>
      </c>
      <c r="C3" s="6" t="s">
        <v>3</v>
      </c>
    </row>
    <row r="4" spans="2:3">
      <c r="B4" s="7" t="s">
        <v>4</v>
      </c>
      <c r="C4" s="7" t="s">
        <v>5</v>
      </c>
    </row>
    <row r="5" spans="2:3">
      <c r="B5" s="8" t="s">
        <v>6</v>
      </c>
      <c r="C5" s="9">
        <f>13676.48</f>
        <v>13676.48</v>
      </c>
    </row>
    <row r="6" spans="2:3">
      <c r="B6" s="8" t="s">
        <v>7</v>
      </c>
      <c r="C6" s="9">
        <f>519.76</f>
        <v>519.76</v>
      </c>
    </row>
    <row r="7" spans="2:3">
      <c r="B7" s="8" t="s">
        <v>8</v>
      </c>
      <c r="C7" s="9">
        <f>98.16</f>
        <v>98.16</v>
      </c>
    </row>
    <row r="8" spans="2:3">
      <c r="B8" s="8" t="s">
        <v>9</v>
      </c>
      <c r="C8" s="9">
        <f>7772.68</f>
        <v>7772.68</v>
      </c>
    </row>
    <row r="9" spans="2:3">
      <c r="B9" s="8" t="s">
        <v>10</v>
      </c>
      <c r="C9" s="9">
        <f>143.68</f>
        <v>143.68</v>
      </c>
    </row>
    <row r="10" spans="2:3">
      <c r="B10" s="8" t="s">
        <v>11</v>
      </c>
      <c r="C10" s="9">
        <f>1018.44</f>
        <v>1018.44</v>
      </c>
    </row>
    <row r="11" spans="2:3">
      <c r="B11" s="8" t="s">
        <v>12</v>
      </c>
      <c r="C11" s="9">
        <f>521.2</f>
        <v>521.2</v>
      </c>
    </row>
    <row r="12" spans="2:3">
      <c r="B12" s="8" t="s">
        <v>13</v>
      </c>
      <c r="C12" s="9">
        <f>975.85</f>
        <v>975.85</v>
      </c>
    </row>
    <row r="13" spans="2:3">
      <c r="B13" s="8" t="s">
        <v>14</v>
      </c>
      <c r="C13" s="9">
        <f>1378.08</f>
        <v>1378.08</v>
      </c>
    </row>
    <row r="14" spans="2:3">
      <c r="B14" s="8" t="s">
        <v>15</v>
      </c>
      <c r="C14" s="9">
        <f>627.3</f>
        <v>627.3</v>
      </c>
    </row>
    <row r="15" spans="2:3">
      <c r="B15" s="8" t="s">
        <v>16</v>
      </c>
      <c r="C15" s="9">
        <f>8848.03</f>
        <v>8848.03</v>
      </c>
    </row>
    <row r="16" spans="2:3">
      <c r="B16" s="8" t="s">
        <v>17</v>
      </c>
      <c r="C16" s="9">
        <f>108602905.42</f>
        <v>108602905.42</v>
      </c>
    </row>
    <row r="17" spans="2:3">
      <c r="B17" s="8" t="s">
        <v>18</v>
      </c>
      <c r="C17" s="9">
        <f>5115107.35</f>
        <v>5115107.35</v>
      </c>
    </row>
    <row r="18" spans="2:3">
      <c r="B18" s="8" t="s">
        <v>19</v>
      </c>
      <c r="C18" s="9">
        <f>49279414.12</f>
        <v>49279414.12</v>
      </c>
    </row>
    <row r="19" spans="2:3">
      <c r="B19" s="8" t="s">
        <v>13</v>
      </c>
      <c r="C19" s="9">
        <f>47150.01</f>
        <v>47150.01</v>
      </c>
    </row>
    <row r="20" spans="2:3">
      <c r="B20" s="8" t="s">
        <v>14</v>
      </c>
      <c r="C20" s="9">
        <f>12040426.5</f>
        <v>12040426.5</v>
      </c>
    </row>
    <row r="21" spans="2:3">
      <c r="B21" s="8" t="s">
        <v>15</v>
      </c>
      <c r="C21" s="9">
        <f>35862185.42</f>
        <v>35862185.42</v>
      </c>
    </row>
    <row r="22" spans="2:3">
      <c r="B22" s="8" t="s">
        <v>20</v>
      </c>
      <c r="C22" s="9">
        <f>4794128.81</f>
        <v>4794128.81</v>
      </c>
    </row>
    <row r="23" spans="2:3">
      <c r="B23" s="8" t="s">
        <v>18</v>
      </c>
      <c r="C23" s="9">
        <f>56667.69</f>
        <v>56667.69</v>
      </c>
    </row>
    <row r="24" spans="2:3">
      <c r="B24" s="8" t="s">
        <v>19</v>
      </c>
      <c r="C24" s="9">
        <f>918505.74</f>
        <v>918505.74</v>
      </c>
    </row>
    <row r="25" spans="2:3">
      <c r="B25" s="10" t="s">
        <v>21</v>
      </c>
      <c r="C25" s="9">
        <f>430846.75</f>
        <v>430846.75</v>
      </c>
    </row>
    <row r="26" spans="2:3">
      <c r="B26" s="8" t="s">
        <v>12</v>
      </c>
      <c r="C26" s="9">
        <f>248813.22</f>
        <v>248813.22</v>
      </c>
    </row>
    <row r="27" spans="2:3">
      <c r="B27" s="8" t="s">
        <v>14</v>
      </c>
      <c r="C27" s="9">
        <f>1153612.03</f>
        <v>1153612.03</v>
      </c>
    </row>
    <row r="28" spans="2:3">
      <c r="B28" s="8" t="s">
        <v>15</v>
      </c>
      <c r="C28" s="9">
        <f>498607.28</f>
        <v>498607.28</v>
      </c>
    </row>
    <row r="29" spans="2:3">
      <c r="B29" s="8" t="s">
        <v>22</v>
      </c>
      <c r="C29" s="9">
        <f>24512.74</f>
        <v>24512.74</v>
      </c>
    </row>
    <row r="30" ht="68" customHeight="1" spans="2:3">
      <c r="B30" s="11" t="s">
        <v>23</v>
      </c>
      <c r="C30" s="11"/>
    </row>
    <row r="31" ht="42" customHeight="1" spans="2:3">
      <c r="B31" s="11" t="s">
        <v>24</v>
      </c>
      <c r="C31" s="11"/>
    </row>
    <row r="32" ht="38.45" customHeight="1" spans="2:3">
      <c r="B32" s="11" t="s">
        <v>25</v>
      </c>
      <c r="C32" s="11"/>
    </row>
    <row r="33" ht="24" customHeight="1" spans="2:10">
      <c r="B33" s="12" t="s">
        <v>26</v>
      </c>
      <c r="C33" s="13"/>
      <c r="G33" s="2" t="s">
        <v>27</v>
      </c>
      <c r="H33" s="14" t="str">
        <f t="shared" ref="H33:H35" si="0">TEXT(I33/J33-1,"0.00%")</f>
        <v>1.92%</v>
      </c>
      <c r="I33" s="2">
        <f>13676.48</f>
        <v>13676.48</v>
      </c>
      <c r="J33" s="3">
        <f>13418.46</f>
        <v>13418.46</v>
      </c>
    </row>
    <row r="34" ht="48" customHeight="1" spans="2:10">
      <c r="B34" s="11" t="s">
        <v>28</v>
      </c>
      <c r="C34" s="11"/>
      <c r="G34" s="2" t="s">
        <v>29</v>
      </c>
      <c r="H34" s="14" t="str">
        <f t="shared" si="0"/>
        <v>45.53%</v>
      </c>
      <c r="I34" s="2">
        <f>108602905.42</f>
        <v>108602905.42</v>
      </c>
      <c r="J34" s="3">
        <f>74624065.64</f>
        <v>74624065.64</v>
      </c>
    </row>
    <row r="35" ht="54" customHeight="1" spans="2:10">
      <c r="B35" s="15" t="str">
        <f>"    6、按可比口径，行业汇总原保险保费收入同比增长"&amp;H33&amp;"，保险金额增长"&amp;H34&amp;"，赔款支出增长"&amp;H35&amp;"。"</f>
        <v>    6、按可比口径，行业汇总原保险保费收入同比增长1.92%，保险金额增长45.53%，赔款支出增长13.55%。</v>
      </c>
      <c r="C35" s="15"/>
      <c r="G35" s="2" t="s">
        <v>30</v>
      </c>
      <c r="H35" s="14" t="str">
        <f t="shared" si="0"/>
        <v>13.55%</v>
      </c>
      <c r="I35" s="2">
        <f>8848.03</f>
        <v>8848.03</v>
      </c>
      <c r="J35" s="3">
        <f>7792.12</f>
        <v>7792.12</v>
      </c>
    </row>
  </sheetData>
  <mergeCells count="6">
    <mergeCell ref="B2:C2"/>
    <mergeCell ref="B30:C30"/>
    <mergeCell ref="B31:C31"/>
    <mergeCell ref="B32:C32"/>
    <mergeCell ref="B34:C34"/>
    <mergeCell ref="B35:C35"/>
  </mergeCells>
  <printOptions horizontalCentered="1"/>
  <pageMargins left="0" right="0" top="0.393055555555556" bottom="0" header="0.511805555555556" footer="0.511805555555556"/>
  <pageSetup paperSize="9" scale="9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产险公司数据（月度）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2022-01-25T07:36:48Z</dcterms:created>
  <dcterms:modified xsi:type="dcterms:W3CDTF">2022-01-25T07:36:51Z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