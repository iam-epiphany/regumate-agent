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0" windowHeight="7547"/>
  </bookViews>
  <sheets>
    <sheet name="产险公司数据（月度）  " sheetId="1" r:id="rId1"/>
  </sheets>
  <definedNames>
    <definedName name="_xlnm.Print_Area" localSheetId="0">'产险公司数据（月度）  '!$A$1:$C$34</definedName>
  </definedNames>
  <calcPr calcId="144525"/>
</workbook>
</file>

<file path=xl/sharedStrings.xml><?xml version="1.0" encoding="utf-8"?>
<sst xmlns="http://schemas.openxmlformats.org/spreadsheetml/2006/main" count="27">
  <si>
    <t xml:space="preserve"> </t>
  </si>
  <si>
    <t>财产保险公司经营情况表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</si>
  <si>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</si>
  <si>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</si>
  <si>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</si>
  <si>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</si>
  <si>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</si>
  <si>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</si>
  <si>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</si>
  <si>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</si>
  <si>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</si>
  <si>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</si>
  <si>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</si>
  <si>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</si>
  <si>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</si>
  <si>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原保险赔款支出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</si>
  <si>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</si>
  <si>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</si>
  <si>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</si>
  <si>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</si>
  <si>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</si>
  <si>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资产总额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</si>
  <si>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</si>
  <si>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</si>
  <si>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 3、原保险赔款支出为按《企业会计准则（2006）》设置的统计指标，指保险企业支付的原保险合同赔付款项。</t>
  </si>
  <si>
    <t xml:space="preserve">     4、资产总额为期末数据，其余为本年累计数据。</t>
  </si>
  <si>
    <t xml:space="preserve">    5、上述数据未经审计。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</si>
</sst>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</numFmts>
  <fonts count="8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8"/>
      <name val="仿宋_GB2312"/>
      <charset val="134"/>
    </font>
    <font>
      <b/>
      <sz val="18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0" fontId="7" fillId="0" borderId="0">
      <alignment horizontal="left"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1" applyFont="1" applyFill="1">
      <alignment horizontal="left" vertical="center"/>
    </xf>
    <xf numFmtId="0" fontId="2" fillId="0" borderId="0" xfId="8" applyFont="1" applyFill="1">
      <alignment horizontal="left" vertical="center"/>
    </xf>
    <xf numFmtId="0" fontId="3" fillId="0" borderId="0" xfId="8" applyFont="1" applyFill="1" applyAlignment="1">
      <alignment horizontal="center" vertical="center"/>
    </xf>
    <xf numFmtId="0" fontId="2" fillId="0" borderId="0" xfId="7" applyFont="1" applyFill="1" applyBorder="1" applyAlignment="1">
      <alignment horizontal="right" wrapText="1"/>
    </xf>
    <xf numFmtId="0" fontId="4" fillId="0" borderId="1" xfId="8" applyFont="1" applyFill="1" applyBorder="1" applyAlignment="1">
      <alignment horizontal="center" vertical="center"/>
    </xf>
    <xf numFmtId="0" fontId="2" fillId="0" borderId="1" xfId="8" applyFont="1" applyFill="1" applyBorder="1">
      <alignment horizontal="left" vertical="center"/>
    </xf>
    <xf numFmtId="176" fontId="2" fillId="0" borderId="1" xfId="8" applyNumberFormat="1" applyFont="1" applyFill="1" applyBorder="1" applyAlignment="1">
      <alignment horizontal="right" vertical="center"/>
    </xf>
    <xf numFmtId="0" fontId="2" fillId="0" borderId="1" xfId="8" applyFont="1" applyFill="1" applyBorder="1" applyAlignment="1">
      <alignment horizontal="left" vertical="center"/>
    </xf>
    <xf numFmtId="0" fontId="2" fillId="0" borderId="2" xfId="7" applyFont="1" applyFill="1" applyBorder="1" applyAlignment="1">
      <alignment horizontal="left" wrapText="1"/>
    </xf>
    <xf numFmtId="0" fontId="2" fillId="0" borderId="0" xfId="7" applyFont="1" applyFill="1" applyAlignment="1">
      <alignment horizontal="left" wrapText="1"/>
    </xf>
    <xf numFmtId="0" fontId="5" fillId="0" borderId="0" xfId="7" applyFont="1" applyFill="1" applyAlignment="1">
      <alignment horizontal="left" wrapText="1"/>
    </xf>
    <xf numFmtId="0" fontId="5" fillId="0" borderId="0" xfId="7" applyFont="1" applyFill="1" applyAlignment="1">
      <alignment horizontal="left" vertical="center" wrapText="1"/>
    </xf>
    <xf numFmtId="0" fontId="5" fillId="0" borderId="0" xfId="7" applyFont="1" applyFill="1" applyAlignment="1">
      <alignment horizontal="left"/>
    </xf>
    <xf numFmtId="0" fontId="5" fillId="0" borderId="0" xfId="7" applyFont="1" applyFill="1" applyAlignment="1"/>
  </cellXfs>
  <cellStyles count="9">
    <cellStyle name="常规" xfId="0" builtinId="0"/>
    <cellStyle name="常规_lvxiaoli_2.1006保监会－寿险.险保费收入情况表（2007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  <cellStyle name="常规 2" xfId="7"/>
    <cellStyle name="常规_lvxiaoli_1.1006保监会－产险.险保费收入情况表（2007" xfId="8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Normal="100" zoomScaleSheetLayoutView="100" workbookViewId="0">
      <selection activeCell="F2" sqref="F2"/>
    </sheetView>
  </sheetViews>
  <sheetFormatPr defaultColWidth="9" defaultRowHeight="20.4" outlineLevelCol="2"/>
  <cols>
    <col min="1" max="1" width="5.62962962962963" style="2" customWidth="1"/>
    <col min="2" max="2" width="49.75" style="2" customWidth="1"/>
    <col min="3" max="3" width="38.1296296296296" style="2" customWidth="1"/>
    <col min="4" max="16384" width="9" style="2"/>
  </cols>
  <sheetData>
    <row r="1" spans="1:1">
      <c r="A1" s="2" t="s">
        <v>0</v>
      </c>
    </row>
    <row r="2" ht="22.2" spans="2:3">
      <c r="B2" s="3" t="s">
        <v>1</v>
      </c>
      <c r="C2" s="3"/>
    </row>
    <row r="3" spans="3:3">
      <c r="C3" s="4" t="s">
        <v>2</v>
      </c>
    </row>
    <row r="4" spans="2:3">
      <c r="B4" s="5" t="s">
        <v>3</v>
      </c>
      <c r="C4" s="5" t="s">
        <v>4</v>
      </c>
    </row>
    <row r="5" spans="2:3">
      <c r="B5" s="6" t="s">
        <v>5</v>
      </c>
      <c r="C5" s="7">
        <f>1577.47</f>
        <v>1577.47</v>
      </c>
    </row>
    <row r="6" spans="2:3">
      <c r="B6" s="6" t="s">
        <v>6</v>
      </c>
      <c r="C6" s="7">
        <f>90.42</f>
        <v>90.42</v>
      </c>
    </row>
    <row r="7" spans="2:3">
      <c r="B7" s="6" t="s">
        <v>7</v>
      </c>
      <c r="C7" s="7">
        <f>13.99</f>
        <v>13.99</v>
      </c>
    </row>
    <row r="8" spans="2:3">
      <c r="B8" s="6" t="s">
        <v>8</v>
      </c>
      <c r="C8" s="7">
        <f>850.02</f>
        <v>850.02</v>
      </c>
    </row>
    <row r="9" spans="2:3">
      <c r="B9" s="6" t="s">
        <v>9</v>
      </c>
      <c r="C9" s="7">
        <f>20.85</f>
        <v>20.85</v>
      </c>
    </row>
    <row r="10" spans="2:3">
      <c r="B10" s="6" t="s">
        <v>10</v>
      </c>
      <c r="C10" s="7">
        <f>107.96</f>
        <v>107.96</v>
      </c>
    </row>
    <row r="11" spans="2:3">
      <c r="B11" s="6" t="s">
        <v>11</v>
      </c>
      <c r="C11" s="7">
        <f>124.08</f>
        <v>124.08</v>
      </c>
    </row>
    <row r="12" spans="2:3">
      <c r="B12" s="6" t="s">
        <v>12</v>
      </c>
      <c r="C12" s="7">
        <f>64.56</f>
        <v>64.56</v>
      </c>
    </row>
    <row r="13" spans="2:3">
      <c r="B13" s="6" t="s">
        <v>13</v>
      </c>
      <c r="C13" s="7">
        <f>185.54</f>
        <v>185.54</v>
      </c>
    </row>
    <row r="14" spans="2:3">
      <c r="B14" s="6" t="s">
        <v>14</v>
      </c>
      <c r="C14" s="7">
        <f>56.01</f>
        <v>56.01</v>
      </c>
    </row>
    <row r="15" spans="2:3">
      <c r="B15" s="6" t="s">
        <v>15</v>
      </c>
      <c r="C15" s="7">
        <f>618.09</f>
        <v>618.09</v>
      </c>
    </row>
    <row r="16" spans="2:3">
      <c r="B16" s="6" t="s">
        <v>16</v>
      </c>
      <c r="C16" s="7">
        <f>8591632.64</f>
        <v>8591632.64</v>
      </c>
    </row>
    <row r="17" spans="2:3">
      <c r="B17" s="6" t="s">
        <v>17</v>
      </c>
      <c r="C17" s="7">
        <f>298128.82</f>
        <v>298128.82</v>
      </c>
    </row>
    <row r="18" spans="2:3">
      <c r="B18" s="6" t="s">
        <v>18</v>
      </c>
      <c r="C18" s="7">
        <f>2482778.85</f>
        <v>2482778.85</v>
      </c>
    </row>
    <row r="19" spans="2:3">
      <c r="B19" s="6" t="s">
        <v>12</v>
      </c>
      <c r="C19" s="7">
        <f>2945.46</f>
        <v>2945.46</v>
      </c>
    </row>
    <row r="20" spans="2:3">
      <c r="B20" s="6" t="s">
        <v>13</v>
      </c>
      <c r="C20" s="7">
        <f>1387002.16</f>
        <v>1387002.16</v>
      </c>
    </row>
    <row r="21" spans="2:3">
      <c r="B21" s="6" t="s">
        <v>14</v>
      </c>
      <c r="C21" s="7">
        <f>3656961.56</f>
        <v>3656961.56</v>
      </c>
    </row>
    <row r="22" spans="2:3">
      <c r="B22" s="6" t="s">
        <v>19</v>
      </c>
      <c r="C22" s="7">
        <f>440398.11</f>
        <v>440398.11</v>
      </c>
    </row>
    <row r="23" spans="2:3">
      <c r="B23" s="6" t="s">
        <v>17</v>
      </c>
      <c r="C23" s="7">
        <f>5486.82</f>
        <v>5486.82</v>
      </c>
    </row>
    <row r="24" spans="2:3">
      <c r="B24" s="6" t="s">
        <v>18</v>
      </c>
      <c r="C24" s="7">
        <f>64811.42</f>
        <v>64811.42</v>
      </c>
    </row>
    <row r="25" spans="2:3">
      <c r="B25" s="8" t="s">
        <v>20</v>
      </c>
      <c r="C25" s="7">
        <f>36367.96</f>
        <v>36367.96</v>
      </c>
    </row>
    <row r="26" spans="2:3">
      <c r="B26" s="6" t="s">
        <v>11</v>
      </c>
      <c r="C26" s="7">
        <f>18414.19</f>
        <v>18414.19</v>
      </c>
    </row>
    <row r="27" spans="2:3">
      <c r="B27" s="6" t="s">
        <v>13</v>
      </c>
      <c r="C27" s="7">
        <f>159831.8</f>
        <v>159831.8</v>
      </c>
    </row>
    <row r="28" spans="2:3">
      <c r="B28" s="6" t="s">
        <v>14</v>
      </c>
      <c r="C28" s="7">
        <f>104083.78</f>
        <v>104083.78</v>
      </c>
    </row>
    <row r="29" spans="2:3">
      <c r="B29" s="6" t="s">
        <v>21</v>
      </c>
      <c r="C29" s="7">
        <f>22944.09</f>
        <v>22944.09</v>
      </c>
    </row>
    <row r="30" ht="67.9" customHeight="1" spans="2:3">
      <c r="B30" s="9" t="s">
        <v>22</v>
      </c>
      <c r="C30" s="9"/>
    </row>
    <row r="31" ht="38.45" customHeight="1" spans="2:3">
      <c r="B31" s="10" t="s">
        <v>23</v>
      </c>
      <c r="C31" s="10"/>
    </row>
    <row r="32" s="1" customFormat="1" ht="57.6" customHeight="1" spans="2:3">
      <c r="B32" s="11" t="s">
        <v>24</v>
      </c>
      <c r="C32" s="11"/>
    </row>
    <row r="33" s="1" customFormat="1" ht="57.6" customHeight="1" spans="2:3">
      <c r="B33" s="12" t="s">
        <v>25</v>
      </c>
      <c r="C33" s="12"/>
    </row>
    <row r="34" s="1" customFormat="1" spans="2:3">
      <c r="B34" s="13" t="s">
        <v>26</v>
      </c>
      <c r="C34" s="14"/>
    </row>
  </sheetData>
  <mergeCells count="5">
    <mergeCell ref="B2:C2"/>
    <mergeCell ref="B30:C30"/>
    <mergeCell ref="B31:C31"/>
    <mergeCell ref="B32:C32"/>
    <mergeCell ref="B33:C33"/>
  </mergeCells>
  <printOptions horizontalCentered="1"/>
  <pageMargins left="0" right="0" top="0" bottom="0" header="0.511805555555556" footer="0.511805555555556"/>
  <pageSetup paperSize="9" scale="5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银监会</dc:creator>
  <dcterms:created xsi:type="dcterms:W3CDTF">2020-03-20T10:17:30Z</dcterms:created>
  <dcterms:modified xsi:type="dcterms:W3CDTF">2020-03-20T10:17:44Z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