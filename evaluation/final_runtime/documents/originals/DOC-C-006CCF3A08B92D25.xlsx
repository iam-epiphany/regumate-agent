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4" windowHeight="9972"/>
  </bookViews>
  <sheets>
    <sheet name="各地区数据（月度）" sheetId="1" r:id="rId1"/>
  </sheets>
  <definedNames>
    <definedName name="_xlnm.Print_Area" localSheetId="0">'各地区数据（月度）'!$A$1:$H$49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<sst xmlns="http://schemas.openxmlformats.org/spreadsheetml/2006/main" count="54">
  <si>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</si>
  <si>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2021年11月全国各地区原保险保费收入情况表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</si>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</sst>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  <numFmt numFmtId="177" formatCode="0.00_);[Red]\(0.00\)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9"/>
      <color indexed="0"/>
      <name val="Arial"/>
      <charset val="134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>
      <alignment horizontal="left"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3" fillId="0" borderId="0">
      <alignment horizontal="left" vertical="center"/>
    </xf>
    <xf numFmtId="0" fontId="24" fillId="2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3" fillId="0" borderId="0">
      <alignment horizontal="left" vertical="center"/>
    </xf>
    <xf numFmtId="0" fontId="23" fillId="0" borderId="0">
      <alignment horizontal="left" vertical="center"/>
    </xf>
  </cellStyleXfs>
  <cellXfs count="18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7" fontId="1" fillId="0" borderId="0" xfId="33" applyNumberFormat="1" applyFont="1" applyFill="1" applyAlignment="1">
      <alignment vertical="center"/>
    </xf>
    <xf numFmtId="177" fontId="1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2" applyNumberFormat="1" applyFont="1" applyFill="1" applyAlignment="1">
      <alignment horizontal="right" vertical="center"/>
    </xf>
    <xf numFmtId="177" fontId="1" fillId="0" borderId="0" xfId="33" applyNumberFormat="1" applyFont="1" applyFill="1" applyAlignment="1">
      <alignment horizontal="right" vertical="center" wrapText="1"/>
    </xf>
    <xf numFmtId="177" fontId="3" fillId="0" borderId="1" xfId="17" applyNumberFormat="1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left" vertical="center" wrapText="1"/>
    </xf>
    <xf numFmtId="176" fontId="4" fillId="0" borderId="2" xfId="52" applyNumberFormat="1" applyFont="1" applyFill="1" applyBorder="1" applyAlignment="1">
      <alignment horizontal="right" vertical="center"/>
    </xf>
    <xf numFmtId="177" fontId="3" fillId="0" borderId="0" xfId="17" applyNumberFormat="1" applyFont="1" applyFill="1" applyBorder="1" applyAlignment="1">
      <alignment horizontal="center" vertical="center" wrapText="1"/>
    </xf>
    <xf numFmtId="177" fontId="3" fillId="0" borderId="0" xfId="17" applyNumberFormat="1" applyFont="1" applyFill="1" applyBorder="1" applyAlignment="1">
      <alignment horizontal="righ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4" xfId="51"/>
    <cellStyle name="常规_lvxiaoli_1.1006保监会－产险.险保费收入情况表（200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showGridLines="0" tabSelected="1" view="pageBreakPreview" zoomScale="70" zoomScaleNormal="100" zoomScaleSheetLayoutView="70" workbookViewId="0">
      <selection activeCell="E52" sqref="E52"/>
    </sheetView>
  </sheetViews>
  <sheetFormatPr defaultColWidth="8" defaultRowHeight="20.4" outlineLevelCol="7"/>
  <cols>
    <col min="1" max="1" width="0.75" style="3" customWidth="1"/>
    <col min="2" max="2" width="2.12962962962963" style="3" customWidth="1"/>
    <col min="3" max="3" width="28.5" style="1" customWidth="1"/>
    <col min="4" max="8" width="13.25" style="4" customWidth="1"/>
    <col min="9" max="16384" width="8" style="3"/>
  </cols>
  <sheetData>
    <row r="1" ht="24" customHeight="1" spans="1:8">
      <c r="A1" s="3" t="s">
        <v>0</v>
      </c>
      <c r="C1" s="5" t="s">
        <v>1</v>
      </c>
      <c r="D1" s="5"/>
      <c r="E1" s="5"/>
      <c r="F1" s="5"/>
      <c r="G1" s="5"/>
      <c r="H1" s="6"/>
    </row>
    <row r="2" ht="6.95" customHeight="1" spans="2:8">
      <c r="B2" s="7" t="s">
        <v>2</v>
      </c>
      <c r="C2" s="1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</row>
    <row r="3" ht="21.75" customHeight="1" spans="2:8">
      <c r="B3" s="8"/>
      <c r="C3" s="9"/>
      <c r="D3" s="10"/>
      <c r="E3" s="11" t="s">
        <v>3</v>
      </c>
      <c r="F3" s="4" t="s">
        <v>2</v>
      </c>
      <c r="G3" s="12" t="s">
        <v>4</v>
      </c>
      <c r="H3" s="12"/>
    </row>
    <row r="4" ht="1.5" customHeight="1" spans="2:8">
      <c r="B4" s="7" t="s">
        <v>2</v>
      </c>
      <c r="C4" s="1" t="s">
        <v>2</v>
      </c>
      <c r="E4" s="4" t="s">
        <v>2</v>
      </c>
      <c r="F4" s="4" t="s">
        <v>2</v>
      </c>
      <c r="G4" s="4" t="s">
        <v>2</v>
      </c>
      <c r="H4" s="4" t="s">
        <v>2</v>
      </c>
    </row>
    <row r="5" s="1" customFormat="1" ht="18.95" customHeight="1" spans="3:8"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 ht="18.95" customHeight="1" spans="3:8">
      <c r="C6" s="14" t="s">
        <v>11</v>
      </c>
      <c r="D6" s="15">
        <f>41644.06</f>
        <v>41644.06</v>
      </c>
      <c r="E6" s="15">
        <f>10575.47</f>
        <v>10575.47</v>
      </c>
      <c r="F6" s="15">
        <f>22050.48</f>
        <v>22050.48</v>
      </c>
      <c r="G6" s="15">
        <f>1122.58</f>
        <v>1122.58</v>
      </c>
      <c r="H6" s="15">
        <f>7895.52</f>
        <v>7895.52</v>
      </c>
    </row>
    <row r="7" ht="18.95" customHeight="1" spans="3:8">
      <c r="C7" s="14" t="s">
        <v>12</v>
      </c>
      <c r="D7" s="15">
        <f>32.26</f>
        <v>32.26</v>
      </c>
      <c r="E7" s="15">
        <f>26.13</f>
        <v>26.13</v>
      </c>
      <c r="F7" s="15">
        <f>0.03</f>
        <v>0.03</v>
      </c>
      <c r="G7" s="15">
        <f>3.17</f>
        <v>3.17</v>
      </c>
      <c r="H7" s="15">
        <f>2.93</f>
        <v>2.93</v>
      </c>
    </row>
    <row r="8" ht="18.95" customHeight="1" spans="3:8">
      <c r="C8" s="14" t="s">
        <v>13</v>
      </c>
      <c r="D8" s="15">
        <f>2300.68</f>
        <v>2300.68</v>
      </c>
      <c r="E8" s="15">
        <f>399.4</f>
        <v>399.4</v>
      </c>
      <c r="F8" s="15">
        <f>1358.38</f>
        <v>1358.38</v>
      </c>
      <c r="G8" s="15">
        <f>58.73</f>
        <v>58.73</v>
      </c>
      <c r="H8" s="15">
        <f>484.18</f>
        <v>484.18</v>
      </c>
    </row>
    <row r="9" ht="18.95" customHeight="1" spans="3:8">
      <c r="C9" s="14" t="s">
        <v>14</v>
      </c>
      <c r="D9" s="15">
        <f>612.11</f>
        <v>612.11</v>
      </c>
      <c r="E9" s="15">
        <f>140.59</f>
        <v>140.59</v>
      </c>
      <c r="F9" s="15">
        <f>346.1</f>
        <v>346.1</v>
      </c>
      <c r="G9" s="15">
        <f>16.82</f>
        <v>16.82</v>
      </c>
      <c r="H9" s="15">
        <f>108.6</f>
        <v>108.6</v>
      </c>
    </row>
    <row r="10" ht="18.95" customHeight="1" spans="3:8">
      <c r="C10" s="14" t="s">
        <v>15</v>
      </c>
      <c r="D10" s="15">
        <f>1864.27</f>
        <v>1864.27</v>
      </c>
      <c r="E10" s="15">
        <f>493.67</f>
        <v>493.67</v>
      </c>
      <c r="F10" s="15">
        <f>987.66</f>
        <v>987.66</v>
      </c>
      <c r="G10" s="15">
        <f>40.76</f>
        <v>40.76</v>
      </c>
      <c r="H10" s="15">
        <f>342.18</f>
        <v>342.18</v>
      </c>
    </row>
    <row r="11" ht="18.95" customHeight="1" spans="3:8">
      <c r="C11" s="14" t="s">
        <v>16</v>
      </c>
      <c r="D11" s="15">
        <f>908.45</f>
        <v>908.45</v>
      </c>
      <c r="E11" s="15">
        <f>261.75</f>
        <v>261.75</v>
      </c>
      <c r="F11" s="15">
        <f>464.11</f>
        <v>464.11</v>
      </c>
      <c r="G11" s="15">
        <f>19.22</f>
        <v>19.22</v>
      </c>
      <c r="H11" s="15">
        <f>163.38</f>
        <v>163.38</v>
      </c>
    </row>
    <row r="12" ht="18.95" customHeight="1" spans="3:8">
      <c r="C12" s="14" t="s">
        <v>17</v>
      </c>
      <c r="D12" s="15">
        <f>349.16</f>
        <v>349.16</v>
      </c>
      <c r="E12" s="15">
        <f>75.35</f>
        <v>75.35</v>
      </c>
      <c r="F12" s="15">
        <f>214.3</f>
        <v>214.3</v>
      </c>
      <c r="G12" s="15">
        <f>7</f>
        <v>7</v>
      </c>
      <c r="H12" s="15">
        <f>52.52</f>
        <v>52.52</v>
      </c>
    </row>
    <row r="13" ht="18.95" customHeight="1" spans="3:8">
      <c r="C13" s="14" t="s">
        <v>18</v>
      </c>
      <c r="D13" s="15">
        <f>1797.63</f>
        <v>1797.63</v>
      </c>
      <c r="E13" s="15">
        <f>477.22</f>
        <v>477.22</v>
      </c>
      <c r="F13" s="15">
        <f>954.73</f>
        <v>954.73</v>
      </c>
      <c r="G13" s="15">
        <f>70.22</f>
        <v>70.22</v>
      </c>
      <c r="H13" s="15">
        <f>295.46</f>
        <v>295.46</v>
      </c>
    </row>
    <row r="14" ht="18.95" customHeight="1" spans="3:8">
      <c r="C14" s="14" t="s">
        <v>19</v>
      </c>
      <c r="D14" s="15">
        <f>3773.25</f>
        <v>3773.25</v>
      </c>
      <c r="E14" s="15">
        <f>901.77</f>
        <v>901.77</v>
      </c>
      <c r="F14" s="15">
        <f>2216.69</f>
        <v>2216.69</v>
      </c>
      <c r="G14" s="15">
        <f>87.2</f>
        <v>87.2</v>
      </c>
      <c r="H14" s="15">
        <f>567.59</f>
        <v>567.59</v>
      </c>
    </row>
    <row r="15" ht="18.95" customHeight="1" spans="3:8">
      <c r="C15" s="14" t="s">
        <v>20</v>
      </c>
      <c r="D15" s="15">
        <f>2306.15</f>
        <v>2306.15</v>
      </c>
      <c r="E15" s="15">
        <f>671.95</f>
        <v>671.95</v>
      </c>
      <c r="F15" s="15">
        <f>1214.61</f>
        <v>1214.61</v>
      </c>
      <c r="G15" s="15">
        <f>58.07</f>
        <v>58.07</v>
      </c>
      <c r="H15" s="15">
        <f>361.51</f>
        <v>361.51</v>
      </c>
    </row>
    <row r="16" ht="18.95" customHeight="1" spans="3:8">
      <c r="C16" s="14" t="s">
        <v>21</v>
      </c>
      <c r="D16" s="15">
        <f>348.17</f>
        <v>348.17</v>
      </c>
      <c r="E16" s="15">
        <f>159.13</f>
        <v>159.13</v>
      </c>
      <c r="F16" s="15">
        <f>137.58</f>
        <v>137.58</v>
      </c>
      <c r="G16" s="15">
        <f>10.48</f>
        <v>10.48</v>
      </c>
      <c r="H16" s="15">
        <f>40.99</f>
        <v>40.99</v>
      </c>
    </row>
    <row r="17" ht="18.95" customHeight="1" spans="3:8">
      <c r="C17" s="14" t="s">
        <v>22</v>
      </c>
      <c r="D17" s="15">
        <f>971.65</f>
        <v>971.65</v>
      </c>
      <c r="E17" s="15">
        <f>232.1</f>
        <v>232.1</v>
      </c>
      <c r="F17" s="15">
        <f>503.38</f>
        <v>503.38</v>
      </c>
      <c r="G17" s="15">
        <f>27.68</f>
        <v>27.68</v>
      </c>
      <c r="H17" s="15">
        <f>208.48</f>
        <v>208.48</v>
      </c>
    </row>
    <row r="18" ht="18.95" customHeight="1" spans="3:8">
      <c r="C18" s="14" t="s">
        <v>23</v>
      </c>
      <c r="D18" s="15">
        <f>224.01</f>
        <v>224.01</v>
      </c>
      <c r="E18" s="15">
        <f>63.87</f>
        <v>63.87</v>
      </c>
      <c r="F18" s="15">
        <f>114.09</f>
        <v>114.09</v>
      </c>
      <c r="G18" s="15">
        <f>6.54</f>
        <v>6.54</v>
      </c>
      <c r="H18" s="15">
        <f>39.52</f>
        <v>39.52</v>
      </c>
    </row>
    <row r="19" ht="18.95" customHeight="1" spans="3:8">
      <c r="C19" s="14" t="s">
        <v>24</v>
      </c>
      <c r="D19" s="15">
        <f>2634.69</f>
        <v>2634.69</v>
      </c>
      <c r="E19" s="15">
        <f>612.57</f>
        <v>612.57</v>
      </c>
      <c r="F19" s="15">
        <f>1386.4</f>
        <v>1386.4</v>
      </c>
      <c r="G19" s="15">
        <f>64.06</f>
        <v>64.06</v>
      </c>
      <c r="H19" s="15">
        <f>571.66</f>
        <v>571.66</v>
      </c>
    </row>
    <row r="20" ht="18.95" customHeight="1" spans="3:8">
      <c r="C20" s="14" t="s">
        <v>25</v>
      </c>
      <c r="D20" s="15">
        <f>429.01</f>
        <v>429.01</v>
      </c>
      <c r="E20" s="15">
        <f>130.26</f>
        <v>130.26</v>
      </c>
      <c r="F20" s="15">
        <f>197.72</f>
        <v>197.72</v>
      </c>
      <c r="G20" s="15">
        <f>10.28</f>
        <v>10.28</v>
      </c>
      <c r="H20" s="15">
        <f>90.76</f>
        <v>90.76</v>
      </c>
    </row>
    <row r="21" ht="18.95" customHeight="1" spans="3:8">
      <c r="C21" s="14" t="s">
        <v>26</v>
      </c>
      <c r="D21" s="15">
        <f>3838.76</f>
        <v>3838.76</v>
      </c>
      <c r="E21" s="15">
        <f>910.95</f>
        <v>910.95</v>
      </c>
      <c r="F21" s="15">
        <f>2136.5</f>
        <v>2136.5</v>
      </c>
      <c r="G21" s="15">
        <f>128.04</f>
        <v>128.04</v>
      </c>
      <c r="H21" s="15">
        <f>663.27</f>
        <v>663.27</v>
      </c>
    </row>
    <row r="22" ht="18.95" customHeight="1" spans="3:8">
      <c r="C22" s="14" t="s">
        <v>27</v>
      </c>
      <c r="D22" s="15">
        <f>1303.05</f>
        <v>1303.05</v>
      </c>
      <c r="E22" s="15">
        <f>339.92</f>
        <v>339.92</v>
      </c>
      <c r="F22" s="15">
        <f>584.1</f>
        <v>584.1</v>
      </c>
      <c r="G22" s="15">
        <f>41.38</f>
        <v>41.38</v>
      </c>
      <c r="H22" s="15">
        <f>337.66</f>
        <v>337.66</v>
      </c>
    </row>
    <row r="23" ht="18.95" customHeight="1" spans="3:8">
      <c r="C23" s="14" t="s">
        <v>28</v>
      </c>
      <c r="D23" s="15">
        <f>180.98</f>
        <v>180.98</v>
      </c>
      <c r="E23" s="15">
        <f>66.39</f>
        <v>66.39</v>
      </c>
      <c r="F23" s="15">
        <f>74.52</f>
        <v>74.52</v>
      </c>
      <c r="G23" s="15">
        <f>5.69</f>
        <v>5.69</v>
      </c>
      <c r="H23" s="15">
        <f>34.38</f>
        <v>34.38</v>
      </c>
    </row>
    <row r="24" ht="18.95" customHeight="1" spans="3:8">
      <c r="C24" s="14" t="s">
        <v>29</v>
      </c>
      <c r="D24" s="15">
        <f>923.86</f>
        <v>923.86</v>
      </c>
      <c r="E24" s="15">
        <f>209.9</f>
        <v>209.9</v>
      </c>
      <c r="F24" s="15">
        <f>537.42</f>
        <v>537.42</v>
      </c>
      <c r="G24" s="15">
        <f>20.05</f>
        <v>20.05</v>
      </c>
      <c r="H24" s="15">
        <f>156.49</f>
        <v>156.49</v>
      </c>
    </row>
    <row r="25" ht="18.95" customHeight="1" spans="3:8">
      <c r="C25" s="14" t="s">
        <v>30</v>
      </c>
      <c r="D25" s="15">
        <f>639.05</f>
        <v>639.05</v>
      </c>
      <c r="E25" s="15">
        <f>158.52</f>
        <v>158.52</v>
      </c>
      <c r="F25" s="15">
        <f>325.83</f>
        <v>325.83</v>
      </c>
      <c r="G25" s="15">
        <f>14.62</f>
        <v>14.62</v>
      </c>
      <c r="H25" s="15">
        <f>140.08</f>
        <v>140.08</v>
      </c>
    </row>
    <row r="26" ht="18.95" customHeight="1" spans="3:8">
      <c r="C26" s="14" t="s">
        <v>31</v>
      </c>
      <c r="D26" s="15">
        <f>922.29</f>
        <v>922.29</v>
      </c>
      <c r="E26" s="15">
        <f>186.31</f>
        <v>186.31</v>
      </c>
      <c r="F26" s="15">
        <f>506.97</f>
        <v>506.97</v>
      </c>
      <c r="G26" s="15">
        <f>15.87</f>
        <v>15.87</v>
      </c>
      <c r="H26" s="15">
        <f>213.14</f>
        <v>213.14</v>
      </c>
    </row>
    <row r="27" ht="18.95" customHeight="1" spans="3:8">
      <c r="C27" s="14" t="s">
        <v>32</v>
      </c>
      <c r="D27" s="15">
        <f>1274.49</f>
        <v>1274.49</v>
      </c>
      <c r="E27" s="15">
        <f>397.03</f>
        <v>397.03</v>
      </c>
      <c r="F27" s="15">
        <f>606.96</f>
        <v>606.96</v>
      </c>
      <c r="G27" s="15">
        <f>34.83</f>
        <v>34.83</v>
      </c>
      <c r="H27" s="15">
        <f>235.67</f>
        <v>235.67</v>
      </c>
    </row>
    <row r="28" ht="18.95" customHeight="1" spans="3:8">
      <c r="C28" s="14" t="s">
        <v>33</v>
      </c>
      <c r="D28" s="15">
        <f>850.28</f>
        <v>850.28</v>
      </c>
      <c r="E28" s="15">
        <f>239.27</f>
        <v>239.27</v>
      </c>
      <c r="F28" s="15">
        <f>419.07</f>
        <v>419.07</v>
      </c>
      <c r="G28" s="15">
        <f>23.43</f>
        <v>23.43</v>
      </c>
      <c r="H28" s="15">
        <f>168.51</f>
        <v>168.51</v>
      </c>
    </row>
    <row r="29" ht="18.95" customHeight="1" spans="3:8">
      <c r="C29" s="14" t="s">
        <v>34</v>
      </c>
      <c r="D29" s="15">
        <f>2210.39</f>
        <v>2210.39</v>
      </c>
      <c r="E29" s="15">
        <f>496.24</f>
        <v>496.24</v>
      </c>
      <c r="F29" s="15">
        <f>1196.97</f>
        <v>1196.97</v>
      </c>
      <c r="G29" s="15">
        <f>48.74</f>
        <v>48.74</v>
      </c>
      <c r="H29" s="15">
        <f>468.44</f>
        <v>468.44</v>
      </c>
    </row>
    <row r="30" ht="18.95" customHeight="1" spans="3:8">
      <c r="C30" s="14" t="s">
        <v>35</v>
      </c>
      <c r="D30" s="15">
        <f>1743.5</f>
        <v>1743.5</v>
      </c>
      <c r="E30" s="15">
        <f>348.48</f>
        <v>348.48</v>
      </c>
      <c r="F30" s="15">
        <f>1007.47</f>
        <v>1007.47</v>
      </c>
      <c r="G30" s="15">
        <f>39.97</f>
        <v>39.97</v>
      </c>
      <c r="H30" s="15">
        <f>347.59</f>
        <v>347.59</v>
      </c>
    </row>
    <row r="31" ht="18.95" customHeight="1" spans="3:8">
      <c r="C31" s="14" t="s">
        <v>36</v>
      </c>
      <c r="D31" s="15">
        <f>1394.75</f>
        <v>1394.75</v>
      </c>
      <c r="E31" s="15">
        <f>350.67</f>
        <v>350.67</v>
      </c>
      <c r="F31" s="15">
        <f>698.24</f>
        <v>698.24</v>
      </c>
      <c r="G31" s="15">
        <f>37.63</f>
        <v>37.63</v>
      </c>
      <c r="H31" s="15">
        <f>308.21</f>
        <v>308.21</v>
      </c>
    </row>
    <row r="32" ht="18.95" customHeight="1" spans="3:8">
      <c r="C32" s="14" t="s">
        <v>37</v>
      </c>
      <c r="D32" s="15">
        <f>900.51</f>
        <v>900.51</v>
      </c>
      <c r="E32" s="15">
        <f>192.82</f>
        <v>192.82</v>
      </c>
      <c r="F32" s="15">
        <f>491.82</f>
        <v>491.82</v>
      </c>
      <c r="G32" s="15">
        <f>24.39</f>
        <v>24.39</v>
      </c>
      <c r="H32" s="15">
        <f>191.47</f>
        <v>191.47</v>
      </c>
    </row>
    <row r="33" ht="18.95" customHeight="1" spans="3:8">
      <c r="C33" s="14" t="s">
        <v>38</v>
      </c>
      <c r="D33" s="15">
        <f>2062.71</f>
        <v>2062.71</v>
      </c>
      <c r="E33" s="15">
        <f>500.12</f>
        <v>500.12</v>
      </c>
      <c r="F33" s="15">
        <f>1117.4</f>
        <v>1117.4</v>
      </c>
      <c r="G33" s="15">
        <f>56.38</f>
        <v>56.38</v>
      </c>
      <c r="H33" s="15">
        <f>388.81</f>
        <v>388.81</v>
      </c>
    </row>
    <row r="34" ht="18.95" customHeight="1" spans="3:8">
      <c r="C34" s="14" t="s">
        <v>39</v>
      </c>
      <c r="D34" s="15">
        <f>459.48</f>
        <v>459.48</v>
      </c>
      <c r="E34" s="15">
        <f>194.91</f>
        <v>194.91</v>
      </c>
      <c r="F34" s="15">
        <f>169.13</f>
        <v>169.13</v>
      </c>
      <c r="G34" s="15">
        <f>19.15</f>
        <v>19.15</v>
      </c>
      <c r="H34" s="15">
        <f>76.29</f>
        <v>76.29</v>
      </c>
    </row>
    <row r="35" ht="18.95" customHeight="1" spans="3:8">
      <c r="C35" s="14" t="s">
        <v>40</v>
      </c>
      <c r="D35" s="15">
        <f>640.81</f>
        <v>640.81</v>
      </c>
      <c r="E35" s="15">
        <f>237.45</f>
        <v>237.45</v>
      </c>
      <c r="F35" s="15">
        <f>237.37</f>
        <v>237.37</v>
      </c>
      <c r="G35" s="15">
        <f>26.31</f>
        <v>26.31</v>
      </c>
      <c r="H35" s="15">
        <f>139.68</f>
        <v>139.68</v>
      </c>
    </row>
    <row r="36" ht="18.95" customHeight="1" spans="3:8">
      <c r="C36" s="14" t="s">
        <v>41</v>
      </c>
      <c r="D36" s="15">
        <f>36.86</f>
        <v>36.86</v>
      </c>
      <c r="E36" s="15">
        <f>25.18</f>
        <v>25.18</v>
      </c>
      <c r="F36" s="15">
        <f>5.28</f>
        <v>5.28</v>
      </c>
      <c r="G36" s="15">
        <f>2.66</f>
        <v>2.66</v>
      </c>
      <c r="H36" s="15">
        <f>3.75</f>
        <v>3.75</v>
      </c>
    </row>
    <row r="37" ht="18.95" customHeight="1" spans="3:8">
      <c r="C37" s="14" t="s">
        <v>42</v>
      </c>
      <c r="D37" s="15">
        <f>973.88</f>
        <v>973.88</v>
      </c>
      <c r="E37" s="15">
        <f>231.89</f>
        <v>231.89</v>
      </c>
      <c r="F37" s="15">
        <f>559.15</f>
        <v>559.15</v>
      </c>
      <c r="G37" s="15">
        <f>22.02</f>
        <v>22.02</v>
      </c>
      <c r="H37" s="15">
        <f>160.83</f>
        <v>160.83</v>
      </c>
    </row>
    <row r="38" ht="18.95" customHeight="1" spans="3:8">
      <c r="C38" s="14" t="s">
        <v>43</v>
      </c>
      <c r="D38" s="15">
        <f>459.37</f>
        <v>459.37</v>
      </c>
      <c r="E38" s="15">
        <f>119.67</f>
        <v>119.67</v>
      </c>
      <c r="F38" s="15">
        <f>244.03</f>
        <v>244.03</v>
      </c>
      <c r="G38" s="15">
        <f>13.23</f>
        <v>13.23</v>
      </c>
      <c r="H38" s="15">
        <f>82.44</f>
        <v>82.44</v>
      </c>
    </row>
    <row r="39" ht="18.95" customHeight="1" spans="3:8">
      <c r="C39" s="14" t="s">
        <v>44</v>
      </c>
      <c r="D39" s="15">
        <f>98.82</f>
        <v>98.82</v>
      </c>
      <c r="E39" s="15">
        <f>40.4</f>
        <v>40.4</v>
      </c>
      <c r="F39" s="15">
        <f>39.43</f>
        <v>39.43</v>
      </c>
      <c r="G39" s="15">
        <f>3.15</f>
        <v>3.15</v>
      </c>
      <c r="H39" s="15">
        <f>15.84</f>
        <v>15.84</v>
      </c>
    </row>
    <row r="40" ht="18.95" customHeight="1" spans="3:8">
      <c r="C40" s="14" t="s">
        <v>45</v>
      </c>
      <c r="D40" s="15">
        <f>196.92</f>
        <v>196.92</v>
      </c>
      <c r="E40" s="15">
        <f>59.79</f>
        <v>59.79</v>
      </c>
      <c r="F40" s="15">
        <f>95.1</f>
        <v>95.1</v>
      </c>
      <c r="G40" s="15">
        <f>6.52</f>
        <v>6.52</v>
      </c>
      <c r="H40" s="15">
        <f>35.52</f>
        <v>35.52</v>
      </c>
    </row>
    <row r="41" ht="18.95" customHeight="1" spans="3:8">
      <c r="C41" s="14" t="s">
        <v>46</v>
      </c>
      <c r="D41" s="15">
        <f>643.2</f>
        <v>643.2</v>
      </c>
      <c r="E41" s="15">
        <f>214.45</f>
        <v>214.45</v>
      </c>
      <c r="F41" s="15">
        <f>287.21</f>
        <v>287.21</v>
      </c>
      <c r="G41" s="15">
        <f>17.03</f>
        <v>17.03</v>
      </c>
      <c r="H41" s="15">
        <f>124.52</f>
        <v>124.52</v>
      </c>
    </row>
    <row r="42" ht="18.95" customHeight="1" spans="3:8">
      <c r="C42" s="14" t="s">
        <v>47</v>
      </c>
      <c r="D42" s="15">
        <f>606.11</f>
        <v>606.11</v>
      </c>
      <c r="E42" s="15">
        <f>190.28</f>
        <v>190.28</v>
      </c>
      <c r="F42" s="15">
        <f>286.68</f>
        <v>286.68</v>
      </c>
      <c r="G42" s="15">
        <f>14.61</f>
        <v>14.61</v>
      </c>
      <c r="H42" s="15">
        <f>114.55</f>
        <v>114.55</v>
      </c>
    </row>
    <row r="43" ht="18.95" customHeight="1" spans="3:8">
      <c r="C43" s="14" t="s">
        <v>48</v>
      </c>
      <c r="D43" s="15">
        <f>732.4</f>
        <v>732.4</v>
      </c>
      <c r="E43" s="15">
        <f>219.02</f>
        <v>219.02</v>
      </c>
      <c r="F43" s="15">
        <f>328.06</f>
        <v>328.06</v>
      </c>
      <c r="G43" s="15">
        <f>26.68</f>
        <v>26.68</v>
      </c>
      <c r="H43" s="15">
        <f>158.64</f>
        <v>158.64</v>
      </c>
    </row>
    <row r="44" ht="15" customHeight="1" spans="3:8">
      <c r="C44" s="16"/>
      <c r="D44" s="17"/>
      <c r="E44" s="17"/>
      <c r="F44" s="17"/>
      <c r="G44" s="17"/>
      <c r="H44" s="17"/>
    </row>
    <row r="45" s="2" customFormat="1" ht="68" customHeight="1" spans="3:8">
      <c r="C45" s="8" t="s">
        <v>49</v>
      </c>
      <c r="D45" s="8"/>
      <c r="E45" s="8"/>
      <c r="F45" s="8"/>
      <c r="G45" s="8"/>
      <c r="H45" s="8"/>
    </row>
    <row r="46" s="2" customFormat="1" ht="47" customHeight="1" spans="1:8">
      <c r="A46" s="7"/>
      <c r="B46" s="7"/>
      <c r="C46" s="8" t="s">
        <v>50</v>
      </c>
      <c r="D46" s="8"/>
      <c r="E46" s="8"/>
      <c r="F46" s="8"/>
      <c r="G46" s="8"/>
      <c r="H46" s="8"/>
    </row>
    <row r="47" s="2" customFormat="1" ht="37.15" customHeight="1" spans="1:8">
      <c r="A47" s="7"/>
      <c r="B47" s="7"/>
      <c r="C47" s="7" t="s">
        <v>51</v>
      </c>
      <c r="D47" s="7"/>
      <c r="E47" s="7"/>
      <c r="F47" s="7"/>
      <c r="G47" s="7"/>
      <c r="H47" s="7"/>
    </row>
    <row r="48" ht="54" customHeight="1" spans="3:8">
      <c r="C48" s="8" t="s">
        <v>52</v>
      </c>
      <c r="D48" s="8"/>
      <c r="E48" s="8"/>
      <c r="F48" s="8"/>
      <c r="G48" s="8"/>
      <c r="H48" s="8"/>
    </row>
    <row r="49" ht="59" customHeight="1" spans="3:8">
      <c r="C49" s="8" t="s">
        <v>53</v>
      </c>
      <c r="D49" s="8"/>
      <c r="E49" s="8"/>
      <c r="F49" s="8"/>
      <c r="G49" s="8"/>
      <c r="H49" s="8"/>
    </row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7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2021-12-27T07:46:13Z</dcterms:created>
  <dcterms:modified xsi:type="dcterms:W3CDTF">2021-12-27T07:46:48Z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