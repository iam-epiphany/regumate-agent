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612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<sst xmlns="http://schemas.openxmlformats.org/spreadsheetml/2006/main" count="54">
  <si>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</si>
  <si>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2022年05月全国各地区原保险保费收入情况表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</si>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</sst>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color indexed="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>
      <alignment horizontal="left"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" fillId="0" borderId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0" borderId="0">
      <alignment horizontal="left" vertical="center"/>
    </xf>
    <xf numFmtId="0" fontId="14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6" fontId="4" fillId="0" borderId="2" xfId="51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85" zoomScaleNormal="100" zoomScaleSheetLayoutView="85" workbookViewId="0">
      <selection activeCell="M9" sqref="M9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f>24179.96</f>
        <v>24179.96</v>
      </c>
      <c r="E6" s="14">
        <f>5188.09</f>
        <v>5188.09</v>
      </c>
      <c r="F6" s="14">
        <f>13968.87</f>
        <v>13968.87</v>
      </c>
      <c r="G6" s="14">
        <f>492.85</f>
        <v>492.85</v>
      </c>
      <c r="H6" s="14">
        <f>4530.15</f>
        <v>4530.15</v>
      </c>
    </row>
    <row r="7" s="1" customFormat="1" ht="18.95" customHeight="1" spans="3:8">
      <c r="C7" s="13" t="s">
        <v>12</v>
      </c>
      <c r="D7" s="14">
        <f>15.66</f>
        <v>15.66</v>
      </c>
      <c r="E7" s="14">
        <f>11.9</f>
        <v>11.9</v>
      </c>
      <c r="F7" s="14">
        <f>0.03</f>
        <v>0.03</v>
      </c>
      <c r="G7" s="14">
        <f>1.39</f>
        <v>1.39</v>
      </c>
      <c r="H7" s="14">
        <f>2.35</f>
        <v>2.35</v>
      </c>
    </row>
    <row r="8" s="1" customFormat="1" ht="18.95" customHeight="1" spans="3:8">
      <c r="C8" s="13" t="s">
        <v>13</v>
      </c>
      <c r="D8" s="14">
        <f>1287.01</f>
        <v>1287.01</v>
      </c>
      <c r="E8" s="14">
        <f>192.98</f>
        <v>192.98</v>
      </c>
      <c r="F8" s="14">
        <f>815.43</f>
        <v>815.43</v>
      </c>
      <c r="G8" s="14">
        <f>20.84</f>
        <v>20.84</v>
      </c>
      <c r="H8" s="14">
        <f>257.76</f>
        <v>257.76</v>
      </c>
    </row>
    <row r="9" s="1" customFormat="1" ht="18.95" customHeight="1" spans="3:8">
      <c r="C9" s="13" t="s">
        <v>14</v>
      </c>
      <c r="D9" s="14">
        <f>336.8</f>
        <v>336.8</v>
      </c>
      <c r="E9" s="14">
        <f>64.74</f>
        <v>64.74</v>
      </c>
      <c r="F9" s="14">
        <f>209.11</f>
        <v>209.11</v>
      </c>
      <c r="G9" s="14">
        <f>6.46</f>
        <v>6.46</v>
      </c>
      <c r="H9" s="14">
        <f>56.49</f>
        <v>56.49</v>
      </c>
    </row>
    <row r="10" s="1" customFormat="1" ht="18.95" customHeight="1" spans="3:8">
      <c r="C10" s="13" t="s">
        <v>15</v>
      </c>
      <c r="D10" s="14">
        <f>1064.49</f>
        <v>1064.49</v>
      </c>
      <c r="E10" s="14">
        <f>233.9</f>
        <v>233.9</v>
      </c>
      <c r="F10" s="14">
        <f>615.06</f>
        <v>615.06</v>
      </c>
      <c r="G10" s="14">
        <f>18.32</f>
        <v>18.32</v>
      </c>
      <c r="H10" s="14">
        <f>197.21</f>
        <v>197.21</v>
      </c>
    </row>
    <row r="11" s="1" customFormat="1" ht="18.95" customHeight="1" spans="3:8">
      <c r="C11" s="13" t="s">
        <v>16</v>
      </c>
      <c r="D11" s="14">
        <f>492.28</f>
        <v>492.28</v>
      </c>
      <c r="E11" s="14">
        <f>118.56</f>
        <v>118.56</v>
      </c>
      <c r="F11" s="14">
        <f>268.32</f>
        <v>268.32</v>
      </c>
      <c r="G11" s="14">
        <f>8.76</f>
        <v>8.76</v>
      </c>
      <c r="H11" s="14">
        <f>96.63</f>
        <v>96.63</v>
      </c>
    </row>
    <row r="12" s="1" customFormat="1" ht="18.95" customHeight="1" spans="3:8">
      <c r="C12" s="13" t="s">
        <v>17</v>
      </c>
      <c r="D12" s="14">
        <f>206.7</f>
        <v>206.7</v>
      </c>
      <c r="E12" s="14">
        <f>38.43</f>
        <v>38.43</v>
      </c>
      <c r="F12" s="14">
        <f>138.27</f>
        <v>138.27</v>
      </c>
      <c r="G12" s="14">
        <f>3.02</f>
        <v>3.02</v>
      </c>
      <c r="H12" s="14">
        <f>26.98</f>
        <v>26.98</v>
      </c>
    </row>
    <row r="13" s="1" customFormat="1" ht="18.95" customHeight="1" spans="3:8">
      <c r="C13" s="13" t="s">
        <v>18</v>
      </c>
      <c r="D13" s="14">
        <f>938.59</f>
        <v>938.59</v>
      </c>
      <c r="E13" s="14">
        <f>228.55</f>
        <v>228.55</v>
      </c>
      <c r="F13" s="14">
        <f>528.75</f>
        <v>528.75</v>
      </c>
      <c r="G13" s="14">
        <f>27.15</f>
        <v>27.15</v>
      </c>
      <c r="H13" s="14">
        <f>154.14</f>
        <v>154.14</v>
      </c>
    </row>
    <row r="14" s="1" customFormat="1" ht="18.95" customHeight="1" spans="3:8">
      <c r="C14" s="13" t="s">
        <v>19</v>
      </c>
      <c r="D14" s="14">
        <f>2303.85</f>
        <v>2303.85</v>
      </c>
      <c r="E14" s="14">
        <f>460.64</f>
        <v>460.64</v>
      </c>
      <c r="F14" s="14">
        <f>1469.93</f>
        <v>1469.93</v>
      </c>
      <c r="G14" s="14">
        <f>42.29</f>
        <v>42.29</v>
      </c>
      <c r="H14" s="14">
        <f>331</f>
        <v>331</v>
      </c>
    </row>
    <row r="15" s="1" customFormat="1" ht="18.95" customHeight="1" spans="3:8">
      <c r="C15" s="13" t="s">
        <v>20</v>
      </c>
      <c r="D15" s="14">
        <f>1373.67</f>
        <v>1373.67</v>
      </c>
      <c r="E15" s="14">
        <f>323.27</f>
        <v>323.27</v>
      </c>
      <c r="F15" s="14">
        <f>808.41</f>
        <v>808.41</v>
      </c>
      <c r="G15" s="14">
        <f>27.22</f>
        <v>27.22</v>
      </c>
      <c r="H15" s="14">
        <f>214.77</f>
        <v>214.77</v>
      </c>
    </row>
    <row r="16" s="1" customFormat="1" ht="18.95" customHeight="1" spans="3:8">
      <c r="C16" s="13" t="s">
        <v>21</v>
      </c>
      <c r="D16" s="14">
        <f>201.31</f>
        <v>201.31</v>
      </c>
      <c r="E16" s="14">
        <f>77.37</f>
        <v>77.37</v>
      </c>
      <c r="F16" s="14">
        <f>99.51</f>
        <v>99.51</v>
      </c>
      <c r="G16" s="14">
        <f>4.85</f>
        <v>4.85</v>
      </c>
      <c r="H16" s="14">
        <f>19.58</f>
        <v>19.58</v>
      </c>
    </row>
    <row r="17" s="1" customFormat="1" ht="18.95" customHeight="1" spans="3:8">
      <c r="C17" s="13" t="s">
        <v>22</v>
      </c>
      <c r="D17" s="14">
        <f>576.99</f>
        <v>576.99</v>
      </c>
      <c r="E17" s="14">
        <f>114.43</f>
        <v>114.43</v>
      </c>
      <c r="F17" s="14">
        <f>335.82</f>
        <v>335.82</v>
      </c>
      <c r="G17" s="14">
        <f>11.74</f>
        <v>11.74</v>
      </c>
      <c r="H17" s="14">
        <f>114.99</f>
        <v>114.99</v>
      </c>
    </row>
    <row r="18" s="1" customFormat="1" ht="18.95" customHeight="1" spans="3:8">
      <c r="C18" s="13" t="s">
        <v>23</v>
      </c>
      <c r="D18" s="14">
        <f>131.84</f>
        <v>131.84</v>
      </c>
      <c r="E18" s="14">
        <f>33.02</f>
        <v>33.02</v>
      </c>
      <c r="F18" s="14">
        <f>77.2</f>
        <v>77.2</v>
      </c>
      <c r="G18" s="14">
        <f>2.95</f>
        <v>2.95</v>
      </c>
      <c r="H18" s="14">
        <f>18.66</f>
        <v>18.66</v>
      </c>
    </row>
    <row r="19" s="1" customFormat="1" ht="18.95" customHeight="1" spans="3:8">
      <c r="C19" s="13" t="s">
        <v>24</v>
      </c>
      <c r="D19" s="14">
        <f>1500.3</f>
        <v>1500.3</v>
      </c>
      <c r="E19" s="14">
        <f>303.12</f>
        <v>303.12</v>
      </c>
      <c r="F19" s="14">
        <f>833.27</f>
        <v>833.27</v>
      </c>
      <c r="G19" s="14">
        <f>28.71</f>
        <v>28.71</v>
      </c>
      <c r="H19" s="14">
        <f>335.2</f>
        <v>335.2</v>
      </c>
    </row>
    <row r="20" s="1" customFormat="1" ht="18.95" customHeight="1" spans="3:8">
      <c r="C20" s="13" t="s">
        <v>25</v>
      </c>
      <c r="D20" s="14">
        <f>249.9</f>
        <v>249.9</v>
      </c>
      <c r="E20" s="14">
        <f>63</f>
        <v>63</v>
      </c>
      <c r="F20" s="14">
        <f>130.15</f>
        <v>130.15</v>
      </c>
      <c r="G20" s="14">
        <f>4.8</f>
        <v>4.8</v>
      </c>
      <c r="H20" s="14">
        <f>51.96</f>
        <v>51.96</v>
      </c>
    </row>
    <row r="21" s="1" customFormat="1" ht="18.95" customHeight="1" spans="3:8">
      <c r="C21" s="13" t="s">
        <v>26</v>
      </c>
      <c r="D21" s="14">
        <f>2171.45</f>
        <v>2171.45</v>
      </c>
      <c r="E21" s="14">
        <f>456.63</f>
        <v>456.63</v>
      </c>
      <c r="F21" s="14">
        <f>1276.12</f>
        <v>1276.12</v>
      </c>
      <c r="G21" s="14">
        <f>56.49</f>
        <v>56.49</v>
      </c>
      <c r="H21" s="14">
        <f>382.21</f>
        <v>382.21</v>
      </c>
    </row>
    <row r="22" s="1" customFormat="1" ht="18.95" customHeight="1" spans="3:8">
      <c r="C22" s="13" t="s">
        <v>27</v>
      </c>
      <c r="D22" s="14">
        <f>707.83</f>
        <v>707.83</v>
      </c>
      <c r="E22" s="14">
        <f>166.67</f>
        <v>166.67</v>
      </c>
      <c r="F22" s="14">
        <f>337.85</f>
        <v>337.85</v>
      </c>
      <c r="G22" s="14">
        <f>18</f>
        <v>18</v>
      </c>
      <c r="H22" s="14">
        <f>185.3</f>
        <v>185.3</v>
      </c>
    </row>
    <row r="23" s="1" customFormat="1" ht="18.95" customHeight="1" spans="3:8">
      <c r="C23" s="13" t="s">
        <v>28</v>
      </c>
      <c r="D23" s="14">
        <f>102.72</f>
        <v>102.72</v>
      </c>
      <c r="E23" s="14">
        <f>33.99</f>
        <v>33.99</v>
      </c>
      <c r="F23" s="14">
        <f>48.41</f>
        <v>48.41</v>
      </c>
      <c r="G23" s="14">
        <f>2.22</f>
        <v>2.22</v>
      </c>
      <c r="H23" s="14">
        <f>18.1</f>
        <v>18.1</v>
      </c>
    </row>
    <row r="24" s="1" customFormat="1" ht="18.95" customHeight="1" spans="3:8">
      <c r="C24" s="13" t="s">
        <v>29</v>
      </c>
      <c r="D24" s="14">
        <f>549.16</f>
        <v>549.16</v>
      </c>
      <c r="E24" s="14">
        <f>104.04</f>
        <v>104.04</v>
      </c>
      <c r="F24" s="14">
        <f>338.89</f>
        <v>338.89</v>
      </c>
      <c r="G24" s="14">
        <f>9.24</f>
        <v>9.24</v>
      </c>
      <c r="H24" s="14">
        <f>96.99</f>
        <v>96.99</v>
      </c>
    </row>
    <row r="25" s="1" customFormat="1" ht="18.95" customHeight="1" spans="3:8">
      <c r="C25" s="13" t="s">
        <v>30</v>
      </c>
      <c r="D25" s="14">
        <f>333.27</f>
        <v>333.27</v>
      </c>
      <c r="E25" s="14">
        <f>66.24</f>
        <v>66.24</v>
      </c>
      <c r="F25" s="14">
        <f>190.69</f>
        <v>190.69</v>
      </c>
      <c r="G25" s="14">
        <f>5.86</f>
        <v>5.86</v>
      </c>
      <c r="H25" s="14">
        <f>70.49</f>
        <v>70.49</v>
      </c>
    </row>
    <row r="26" s="1" customFormat="1" ht="18.95" customHeight="1" spans="3:8">
      <c r="C26" s="13" t="s">
        <v>31</v>
      </c>
      <c r="D26" s="14">
        <f>505.91</f>
        <v>505.91</v>
      </c>
      <c r="E26" s="14">
        <f>73.96</f>
        <v>73.96</v>
      </c>
      <c r="F26" s="14">
        <f>316.44</f>
        <v>316.44</v>
      </c>
      <c r="G26" s="14">
        <f>6.95</f>
        <v>6.95</v>
      </c>
      <c r="H26" s="14">
        <f>108.57</f>
        <v>108.57</v>
      </c>
    </row>
    <row r="27" s="1" customFormat="1" ht="18.95" customHeight="1" spans="3:8">
      <c r="C27" s="13" t="s">
        <v>32</v>
      </c>
      <c r="D27" s="14">
        <f>762.64</f>
        <v>762.64</v>
      </c>
      <c r="E27" s="14">
        <f>195.7</f>
        <v>195.7</v>
      </c>
      <c r="F27" s="14">
        <f>391.11</f>
        <v>391.11</v>
      </c>
      <c r="G27" s="14">
        <f>16.9</f>
        <v>16.9</v>
      </c>
      <c r="H27" s="14">
        <f>158.93</f>
        <v>158.93</v>
      </c>
    </row>
    <row r="28" s="1" customFormat="1" ht="18.95" customHeight="1" spans="3:8">
      <c r="C28" s="13" t="s">
        <v>33</v>
      </c>
      <c r="D28" s="14">
        <f>531.31</f>
        <v>531.31</v>
      </c>
      <c r="E28" s="14">
        <f>124.55</f>
        <v>124.55</v>
      </c>
      <c r="F28" s="14">
        <f>299.37</f>
        <v>299.37</v>
      </c>
      <c r="G28" s="14">
        <f>9.6</f>
        <v>9.6</v>
      </c>
      <c r="H28" s="14">
        <f>97.78</f>
        <v>97.78</v>
      </c>
    </row>
    <row r="29" s="1" customFormat="1" ht="18.95" customHeight="1" spans="3:8">
      <c r="C29" s="13" t="s">
        <v>34</v>
      </c>
      <c r="D29" s="14">
        <f>1288.18</f>
        <v>1288.18</v>
      </c>
      <c r="E29" s="14">
        <f>246.42</f>
        <v>246.42</v>
      </c>
      <c r="F29" s="14">
        <f>768.63</f>
        <v>768.63</v>
      </c>
      <c r="G29" s="14">
        <f>21.47</f>
        <v>21.47</v>
      </c>
      <c r="H29" s="14">
        <f>251.67</f>
        <v>251.67</v>
      </c>
    </row>
    <row r="30" s="1" customFormat="1" ht="18.95" customHeight="1" spans="3:8">
      <c r="C30" s="13" t="s">
        <v>35</v>
      </c>
      <c r="D30" s="14">
        <f>1043.77</f>
        <v>1043.77</v>
      </c>
      <c r="E30" s="14">
        <f>179.98</f>
        <v>179.98</v>
      </c>
      <c r="F30" s="14">
        <f>638.68</f>
        <v>638.68</v>
      </c>
      <c r="G30" s="14">
        <f>18.36</f>
        <v>18.36</v>
      </c>
      <c r="H30" s="14">
        <f>206.75</f>
        <v>206.75</v>
      </c>
    </row>
    <row r="31" s="1" customFormat="1" ht="18.95" customHeight="1" spans="3:8">
      <c r="C31" s="13" t="s">
        <v>36</v>
      </c>
      <c r="D31" s="14">
        <f>863.11</f>
        <v>863.11</v>
      </c>
      <c r="E31" s="14">
        <f>174.45</f>
        <v>174.45</v>
      </c>
      <c r="F31" s="14">
        <f>479.56</f>
        <v>479.56</v>
      </c>
      <c r="G31" s="14">
        <f>16.83</f>
        <v>16.83</v>
      </c>
      <c r="H31" s="14">
        <f>192.27</f>
        <v>192.27</v>
      </c>
    </row>
    <row r="32" s="1" customFormat="1" ht="18.95" customHeight="1" spans="3:8">
      <c r="C32" s="13" t="s">
        <v>37</v>
      </c>
      <c r="D32" s="14">
        <f>566.59</f>
        <v>566.59</v>
      </c>
      <c r="E32" s="14">
        <f>92.52</f>
        <v>92.52</v>
      </c>
      <c r="F32" s="14">
        <f>330.58</f>
        <v>330.58</v>
      </c>
      <c r="G32" s="14">
        <f>10.11</f>
        <v>10.11</v>
      </c>
      <c r="H32" s="14">
        <f>133.39</f>
        <v>133.39</v>
      </c>
    </row>
    <row r="33" s="1" customFormat="1" ht="18.95" customHeight="1" spans="3:8">
      <c r="C33" s="13" t="s">
        <v>38</v>
      </c>
      <c r="D33" s="14">
        <f>1223.82</f>
        <v>1223.82</v>
      </c>
      <c r="E33" s="14">
        <f>246</f>
        <v>246</v>
      </c>
      <c r="F33" s="14">
        <f>741.61</f>
        <v>741.61</v>
      </c>
      <c r="G33" s="14">
        <f>25.86</f>
        <v>25.86</v>
      </c>
      <c r="H33" s="14">
        <f>210.35</f>
        <v>210.35</v>
      </c>
    </row>
    <row r="34" s="1" customFormat="1" ht="18.95" customHeight="1" spans="3:8">
      <c r="C34" s="13" t="s">
        <v>39</v>
      </c>
      <c r="D34" s="14">
        <f>257.34</f>
        <v>257.34</v>
      </c>
      <c r="E34" s="14">
        <f>99.57</f>
        <v>99.57</v>
      </c>
      <c r="F34" s="14">
        <f>100.04</f>
        <v>100.04</v>
      </c>
      <c r="G34" s="14">
        <f>8.15</f>
        <v>8.15</v>
      </c>
      <c r="H34" s="14">
        <f>49.58</f>
        <v>49.58</v>
      </c>
    </row>
    <row r="35" s="1" customFormat="1" ht="18.95" customHeight="1" spans="3:8">
      <c r="C35" s="13" t="s">
        <v>40</v>
      </c>
      <c r="D35" s="14">
        <f>370.87</f>
        <v>370.87</v>
      </c>
      <c r="E35" s="14">
        <f>113.35</f>
        <v>113.35</v>
      </c>
      <c r="F35" s="14">
        <f>160.51</f>
        <v>160.51</v>
      </c>
      <c r="G35" s="14">
        <f>11.62</f>
        <v>11.62</v>
      </c>
      <c r="H35" s="14">
        <f>85.39</f>
        <v>85.39</v>
      </c>
    </row>
    <row r="36" s="1" customFormat="1" ht="18.95" customHeight="1" spans="3:8">
      <c r="C36" s="13" t="s">
        <v>41</v>
      </c>
      <c r="D36" s="14">
        <f>25.5</f>
        <v>25.5</v>
      </c>
      <c r="E36" s="14">
        <f>17.87</f>
        <v>17.87</v>
      </c>
      <c r="F36" s="14">
        <f>3.78</f>
        <v>3.78</v>
      </c>
      <c r="G36" s="14">
        <f>0.93</f>
        <v>0.93</v>
      </c>
      <c r="H36" s="14">
        <f>2.91</f>
        <v>2.91</v>
      </c>
    </row>
    <row r="37" s="1" customFormat="1" ht="18.95" customHeight="1" spans="3:8">
      <c r="C37" s="13" t="s">
        <v>42</v>
      </c>
      <c r="D37" s="14">
        <f>579.06</f>
        <v>579.06</v>
      </c>
      <c r="E37" s="14">
        <f>108.9</f>
        <v>108.9</v>
      </c>
      <c r="F37" s="14">
        <f>363.45</f>
        <v>363.45</v>
      </c>
      <c r="G37" s="14">
        <f>9.68</f>
        <v>9.68</v>
      </c>
      <c r="H37" s="14">
        <f>97.02</f>
        <v>97.02</v>
      </c>
    </row>
    <row r="38" s="1" customFormat="1" ht="18.95" customHeight="1" spans="3:8">
      <c r="C38" s="13" t="s">
        <v>43</v>
      </c>
      <c r="D38" s="14">
        <f>273.89</f>
        <v>273.89</v>
      </c>
      <c r="E38" s="14">
        <f>59.94</f>
        <v>59.94</v>
      </c>
      <c r="F38" s="14">
        <f>164.26</f>
        <v>164.26</v>
      </c>
      <c r="G38" s="14">
        <f>6.02</f>
        <v>6.02</v>
      </c>
      <c r="H38" s="14">
        <f>43.67</f>
        <v>43.67</v>
      </c>
    </row>
    <row r="39" s="1" customFormat="1" ht="18.95" customHeight="1" spans="3:8">
      <c r="C39" s="13" t="s">
        <v>44</v>
      </c>
      <c r="D39" s="14">
        <f>53.76</f>
        <v>53.76</v>
      </c>
      <c r="E39" s="14">
        <f>17.31</f>
        <v>17.31</v>
      </c>
      <c r="F39" s="14">
        <f>26.38</f>
        <v>26.38</v>
      </c>
      <c r="G39" s="14">
        <f>1.48</f>
        <v>1.48</v>
      </c>
      <c r="H39" s="14">
        <f>8.58</f>
        <v>8.58</v>
      </c>
    </row>
    <row r="40" s="1" customFormat="1" ht="18.95" customHeight="1" spans="3:8">
      <c r="C40" s="13" t="s">
        <v>45</v>
      </c>
      <c r="D40" s="14">
        <f>113.6</f>
        <v>113.6</v>
      </c>
      <c r="E40" s="14">
        <f>30.06</f>
        <v>30.06</v>
      </c>
      <c r="F40" s="14">
        <f>62.8</f>
        <v>62.8</v>
      </c>
      <c r="G40" s="14">
        <f>2.99</f>
        <v>2.99</v>
      </c>
      <c r="H40" s="14">
        <f>17.75</f>
        <v>17.75</v>
      </c>
    </row>
    <row r="41" s="1" customFormat="1" ht="18.95" customHeight="1" spans="3:8">
      <c r="C41" s="13" t="s">
        <v>46</v>
      </c>
      <c r="D41" s="14">
        <f>408.09</f>
        <v>408.09</v>
      </c>
      <c r="E41" s="14">
        <f>132.71</f>
        <v>132.71</v>
      </c>
      <c r="F41" s="14">
        <f>189.82</f>
        <v>189.82</v>
      </c>
      <c r="G41" s="14">
        <f>8.22</f>
        <v>8.22</v>
      </c>
      <c r="H41" s="14">
        <f>77.34</f>
        <v>77.34</v>
      </c>
    </row>
    <row r="42" s="1" customFormat="1" ht="18.95" customHeight="1" spans="3:8">
      <c r="C42" s="13" t="s">
        <v>47</v>
      </c>
      <c r="D42" s="14">
        <f>326.44</f>
        <v>326.44</v>
      </c>
      <c r="E42" s="14">
        <f>77.05</f>
        <v>77.05</v>
      </c>
      <c r="F42" s="14">
        <f>183.08</f>
        <v>183.08</v>
      </c>
      <c r="G42" s="14">
        <f>6.46</f>
        <v>6.46</v>
      </c>
      <c r="H42" s="14">
        <f>59.85</f>
        <v>59.85</v>
      </c>
    </row>
    <row r="43" s="1" customFormat="1" ht="18.95" customHeight="1" spans="3:8">
      <c r="C43" s="13" t="s">
        <v>48</v>
      </c>
      <c r="D43" s="14">
        <f>442.28</f>
        <v>442.28</v>
      </c>
      <c r="E43" s="14">
        <f>106.28</f>
        <v>106.28</v>
      </c>
      <c r="F43" s="14">
        <f>227.56</f>
        <v>227.56</v>
      </c>
      <c r="G43" s="14">
        <f>10.9</f>
        <v>10.9</v>
      </c>
      <c r="H43" s="14">
        <f>97.54</f>
        <v>97.54</v>
      </c>
    </row>
    <row r="44" s="1" customFormat="1" ht="8" customHeight="1" spans="3:8">
      <c r="C44" s="15"/>
      <c r="D44" s="16"/>
      <c r="E44" s="16"/>
      <c r="F44" s="16"/>
      <c r="G44" s="16"/>
      <c r="H44" s="16"/>
    </row>
    <row r="45" s="1" customFormat="1" ht="81" customHeight="1" spans="3:8">
      <c r="C45" s="7" t="s">
        <v>49</v>
      </c>
      <c r="D45" s="7"/>
      <c r="E45" s="7"/>
      <c r="F45" s="7"/>
      <c r="G45" s="7"/>
      <c r="H45" s="7"/>
    </row>
    <row r="46" s="1" customFormat="1" ht="50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2022-06-27T07:28:39Z</dcterms:created>
  <dcterms:modified xsi:type="dcterms:W3CDTF">2022-06-27T07:28:48Z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