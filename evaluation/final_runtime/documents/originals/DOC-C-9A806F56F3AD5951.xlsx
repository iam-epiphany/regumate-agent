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90"/>
  </bookViews>
  <sheets>
    <sheet name="1.2012银保监会－以集团..汇总表（含独立账户2010" sheetId="1" r:id="rId1"/>
    <sheet name="Sheet1" sheetId="2" r:id="rId2"/>
    <sheet name="Sheet2" sheetId="3" r:id="rId3"/>
    <sheet name="Sheet3" sheetId="4" r:id="rId4"/>
  </sheets>
  <definedNames>
    <definedName name="_xlnm.Print_Area" localSheetId="0">'1.2012银保监会－以集团..汇总表（含独立账户2010'!$A$1:$D$31</definedName>
    <definedName name="月份">OFFSET(#REF!,,,,COUNTA(#REF!)-1)</definedName>
    <definedName name="总值">OFFSET(#REF!,,,,COUNTA(#REF!)-1)</definedName>
  </definedNames>
  <calcPr calcId="144525"/>
</workbook>
</file>

<file path=xl/sharedStrings.xml><?xml version="1.0" encoding="utf-8"?>
<sst xmlns="http://schemas.openxmlformats.org/spreadsheetml/2006/main" count="39" uniqueCount="18">
  <si>
    <t>2022年3季度保险业资金运用情况表</t>
  </si>
  <si>
    <t>单位：亿元</t>
  </si>
  <si>
    <t>项目</t>
  </si>
  <si>
    <t>截至当期</t>
  </si>
  <si>
    <t>账面余额</t>
  </si>
  <si>
    <t>规模占比</t>
  </si>
  <si>
    <t>同比增长</t>
  </si>
  <si>
    <t>资金运用余额</t>
  </si>
  <si>
    <t>财务收益率年化</t>
  </si>
  <si>
    <t>综合收益率年化</t>
  </si>
  <si>
    <t>其中：人身险公司</t>
  </si>
  <si>
    <t xml:space="preserve">   其中：银行存款</t>
  </si>
  <si>
    <t xml:space="preserve">        债券</t>
  </si>
  <si>
    <t xml:space="preserve">        股票</t>
  </si>
  <si>
    <t xml:space="preserve">        证券投资基金</t>
  </si>
  <si>
    <t xml:space="preserve">        长期股权投资</t>
  </si>
  <si>
    <t>其中：财产保险公司</t>
  </si>
  <si>
    <r>
      <rPr>
        <sz val="12"/>
        <rFont val="宋体"/>
        <charset val="134"/>
      </rPr>
      <t>备注：1、本表统计全部保险资金运用情况，包括非独立帐户和独立帐户。因华夏人寿、天安人寿、天安财险、易安财险目前处于风险处置阶段，2021年9月起行业数据口径暂不包含这四家机构，环比、同比数据一并剔除计算。
     2、财务收益率年化=</t>
    </r>
    <r>
      <rPr>
        <sz val="12"/>
        <rFont val="仿宋_GB2312"/>
        <charset val="134"/>
      </rPr>
      <t>〔</t>
    </r>
    <r>
      <rPr>
        <sz val="12"/>
        <rFont val="宋体"/>
        <charset val="134"/>
      </rPr>
      <t>（期末累计实现财务收益/平均资金运用余额）/x</t>
    </r>
    <r>
      <rPr>
        <sz val="12"/>
        <rFont val="仿宋_GB2312"/>
        <charset val="134"/>
      </rPr>
      <t>〕</t>
    </r>
    <r>
      <rPr>
        <sz val="12"/>
        <rFont val="宋体"/>
        <charset val="134"/>
      </rPr>
      <t>*4,x为当前季度。
     3、综合收益率年化=〔（期末累计实现综合收益/平均资金运用余额）/x〕*4,x为当前季度。
     4、上述数据来源于各公司报送的保险数据，未经审计。</t>
    </r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</si>
</sst>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#,##0.00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2"/>
      <name val="黑体"/>
      <charset val="134"/>
    </font>
    <font>
      <b/>
      <sz val="16"/>
      <name val="宋体"/>
      <charset val="134"/>
    </font>
    <font>
      <b/>
      <sz val="16"/>
      <name val="仿宋_GB2312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2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3">
    <xf numFmtId="0" fontId="0" fillId="0" borderId="0">
      <alignment vertical="center"/>
    </xf>
    <xf numFmtId="0" fontId="5" fillId="0" borderId="0">
      <alignment vertical="center"/>
    </xf>
    <xf numFmtId="0" fontId="11" fillId="1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6" fillId="29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5" fillId="0" borderId="0">
      <alignment vertical="center"/>
      <protection locked="0"/>
    </xf>
    <xf numFmtId="0" fontId="10" fillId="32" borderId="0" applyNumberFormat="0" applyBorder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29" fillId="29" borderId="10" applyNumberFormat="0" applyAlignment="0" applyProtection="0">
      <alignment vertical="center"/>
    </xf>
    <xf numFmtId="0" fontId="20" fillId="17" borderId="8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5" fillId="28" borderId="9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</cellStyleXfs>
  <cellXfs count="35">
    <xf numFmtId="0" fontId="0" fillId="0" borderId="0" xfId="0" applyFill="1">
      <alignment vertical="center"/>
    </xf>
    <xf numFmtId="0" fontId="1" fillId="0" borderId="0" xfId="1" applyFont="1" applyFill="1" applyAlignment="1"/>
    <xf numFmtId="0" fontId="1" fillId="0" borderId="0" xfId="1" applyFont="1" applyFill="1" applyAlignment="1"/>
    <xf numFmtId="0" fontId="2" fillId="0" borderId="0" xfId="1" applyFont="1" applyFill="1" applyAlignment="1">
      <alignment vertical="center" wrapText="1"/>
    </xf>
    <xf numFmtId="0" fontId="0" fillId="0" borderId="0" xfId="0" applyFill="1">
      <alignment vertical="center"/>
    </xf>
    <xf numFmtId="0" fontId="3" fillId="0" borderId="0" xfId="1" applyFont="1" applyFill="1" applyAlignment="1">
      <alignment horizontal="center"/>
    </xf>
    <xf numFmtId="0" fontId="4" fillId="0" borderId="0" xfId="1" applyFont="1" applyFill="1" applyBorder="1" applyAlignment="1"/>
    <xf numFmtId="0" fontId="5" fillId="0" borderId="0" xfId="1" applyFont="1" applyFill="1" applyBorder="1" applyAlignment="1"/>
    <xf numFmtId="0" fontId="6" fillId="0" borderId="0" xfId="1" applyFont="1" applyFill="1" applyBorder="1" applyAlignment="1">
      <alignment horizontal="right"/>
    </xf>
    <xf numFmtId="0" fontId="7" fillId="0" borderId="1" xfId="31" applyFont="1" applyFill="1" applyBorder="1" applyAlignment="1">
      <alignment horizontal="center" vertical="center" wrapText="1"/>
      <protection locked="0"/>
    </xf>
    <xf numFmtId="57" fontId="7" fillId="0" borderId="1" xfId="1" applyNumberFormat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/>
    </xf>
    <xf numFmtId="0" fontId="6" fillId="0" borderId="2" xfId="49" applyFont="1" applyFill="1" applyBorder="1" applyAlignment="1">
      <alignment horizontal="left" vertical="top" wrapText="1"/>
    </xf>
    <xf numFmtId="176" fontId="5" fillId="0" borderId="2" xfId="49" applyNumberFormat="1" applyFont="1" applyFill="1" applyBorder="1" applyAlignment="1">
      <alignment horizontal="right" vertical="center" wrapText="1"/>
    </xf>
    <xf numFmtId="10" fontId="5" fillId="0" borderId="2" xfId="49" applyNumberFormat="1" applyFont="1" applyFill="1" applyBorder="1" applyAlignment="1">
      <alignment horizontal="right" vertical="center" wrapText="1"/>
    </xf>
    <xf numFmtId="0" fontId="6" fillId="0" borderId="1" xfId="49" applyFont="1" applyFill="1" applyBorder="1" applyAlignment="1">
      <alignment horizontal="left" vertical="top" wrapText="1"/>
    </xf>
    <xf numFmtId="10" fontId="5" fillId="0" borderId="1" xfId="31" applyNumberFormat="1" applyFont="1" applyFill="1" applyBorder="1" applyAlignment="1">
      <alignment horizontal="center" vertical="center" wrapText="1"/>
      <protection locked="0"/>
    </xf>
    <xf numFmtId="0" fontId="8" fillId="0" borderId="0" xfId="1" applyFont="1" applyFill="1" applyAlignment="1">
      <alignment horizontal="left"/>
    </xf>
    <xf numFmtId="176" fontId="5" fillId="0" borderId="1" xfId="49" applyNumberFormat="1" applyFont="1" applyFill="1" applyBorder="1" applyAlignment="1">
      <alignment horizontal="right" vertical="center" wrapText="1"/>
    </xf>
    <xf numFmtId="10" fontId="5" fillId="0" borderId="1" xfId="49" applyNumberFormat="1" applyFont="1" applyFill="1" applyBorder="1" applyAlignment="1" applyProtection="1">
      <alignment horizontal="right" vertical="center" wrapText="1"/>
    </xf>
    <xf numFmtId="10" fontId="5" fillId="0" borderId="1" xfId="49" applyNumberFormat="1" applyFont="1" applyFill="1" applyBorder="1" applyAlignment="1">
      <alignment horizontal="right" vertical="center" wrapText="1"/>
    </xf>
    <xf numFmtId="0" fontId="6" fillId="0" borderId="1" xfId="31" applyFont="1" applyFill="1" applyBorder="1" applyAlignment="1">
      <alignment horizontal="left" vertical="top" wrapText="1"/>
      <protection locked="0"/>
    </xf>
    <xf numFmtId="176" fontId="5" fillId="0" borderId="1" xfId="31" applyNumberFormat="1" applyFont="1" applyFill="1" applyBorder="1" applyAlignment="1">
      <alignment horizontal="right" vertical="center" wrapText="1"/>
      <protection locked="0"/>
    </xf>
    <xf numFmtId="10" fontId="5" fillId="0" borderId="1" xfId="31" applyNumberFormat="1" applyFont="1" applyFill="1" applyBorder="1" applyAlignment="1">
      <alignment horizontal="right" vertical="center" wrapText="1"/>
      <protection locked="0"/>
    </xf>
    <xf numFmtId="10" fontId="5" fillId="0" borderId="2" xfId="31" applyNumberFormat="1" applyFont="1" applyFill="1" applyBorder="1" applyAlignment="1">
      <alignment horizontal="center" vertical="center" wrapText="1"/>
      <protection locked="0"/>
    </xf>
    <xf numFmtId="0" fontId="5" fillId="0" borderId="0" xfId="1" applyNumberFormat="1" applyFont="1" applyFill="1" applyAlignment="1">
      <alignment horizontal="left" vertical="top" wrapText="1"/>
    </xf>
    <xf numFmtId="0" fontId="8" fillId="0" borderId="0" xfId="1" applyFont="1" applyFill="1" applyBorder="1" applyAlignment="1"/>
    <xf numFmtId="57" fontId="2" fillId="0" borderId="0" xfId="1" applyNumberFormat="1" applyFont="1" applyFill="1" applyBorder="1" applyAlignment="1">
      <alignment horizontal="center"/>
    </xf>
    <xf numFmtId="0" fontId="2" fillId="0" borderId="0" xfId="1" applyFont="1" applyFill="1" applyAlignment="1"/>
    <xf numFmtId="0" fontId="2" fillId="0" borderId="0" xfId="1" applyFont="1" applyFill="1" applyAlignment="1">
      <alignment horizontal="right"/>
    </xf>
    <xf numFmtId="0" fontId="2" fillId="0" borderId="0" xfId="1" applyFont="1" applyFill="1" applyBorder="1" applyAlignment="1">
      <alignment vertical="center" wrapText="1"/>
    </xf>
    <xf numFmtId="0" fontId="1" fillId="0" borderId="0" xfId="1" applyFont="1" applyFill="1" applyBorder="1" applyAlignment="1"/>
    <xf numFmtId="0" fontId="2" fillId="0" borderId="0" xfId="1" applyFont="1" applyFill="1" applyAlignment="1"/>
    <xf numFmtId="0" fontId="4" fillId="0" borderId="0" xfId="1" applyFont="1" applyFill="1" applyBorder="1" applyAlignment="1">
      <alignment vertical="center" wrapText="1"/>
    </xf>
    <xf numFmtId="0" fontId="9" fillId="0" borderId="0" xfId="1" applyFont="1" applyFill="1" applyBorder="1" applyAlignment="1">
      <alignment horizontal="center"/>
    </xf>
  </cellXfs>
  <cellStyles count="53">
    <cellStyle name="常规" xfId="0" builtinId="0"/>
    <cellStyle name="常规_分析附表算法" xfId="1"/>
    <cellStyle name="40% - 强调文字颜色 6" xfId="2" builtinId="51"/>
    <cellStyle name="20% - 强调文字颜色 6" xfId="3" builtinId="50"/>
    <cellStyle name="强调文字颜色 6" xfId="4" builtinId="49"/>
    <cellStyle name="40% - 强调文字颜色 5" xfId="5" builtinId="47"/>
    <cellStyle name="20% - 强调文字颜色 5" xfId="6" builtinId="46"/>
    <cellStyle name="强调文字颜色 5" xfId="7" builtinId="45"/>
    <cellStyle name="40% - 强调文字颜色 4" xfId="8" builtinId="43"/>
    <cellStyle name="标题 3" xfId="9" builtinId="18"/>
    <cellStyle name="解释性文本" xfId="10" builtinId="53"/>
    <cellStyle name="汇总" xfId="11" builtinId="25"/>
    <cellStyle name="百分比" xfId="12" builtinId="5"/>
    <cellStyle name="千位分隔" xfId="13" builtinId="3"/>
    <cellStyle name="标题 2" xfId="14" builtinId="17"/>
    <cellStyle name="货币[0]" xfId="15" builtinId="7"/>
    <cellStyle name="常规 4" xfId="16"/>
    <cellStyle name="60% - 强调文字颜色 4" xfId="17" builtinId="44"/>
    <cellStyle name="警告文本" xfId="18" builtinId="11"/>
    <cellStyle name="20% - 强调文字颜色 2" xfId="19" builtinId="34"/>
    <cellStyle name="60% - 强调文字颜色 5" xfId="20" builtinId="48"/>
    <cellStyle name="标题 1" xfId="21" builtinId="16"/>
    <cellStyle name="超链接" xfId="22" builtinId="8"/>
    <cellStyle name="20% - 强调文字颜色 3" xfId="23" builtinId="38"/>
    <cellStyle name="货币" xfId="24" builtinId="4"/>
    <cellStyle name="20% - 强调文字颜色 4" xfId="25" builtinId="42"/>
    <cellStyle name="计算" xfId="26" builtinId="22"/>
    <cellStyle name="已访问的超链接" xfId="27" builtinId="9"/>
    <cellStyle name="千位分隔[0]" xfId="28" builtinId="6"/>
    <cellStyle name="强调文字颜色 4" xfId="29" builtinId="41"/>
    <cellStyle name="40% - 强调文字颜色 3" xfId="30" builtinId="39"/>
    <cellStyle name="常规 2 2" xfId="31"/>
    <cellStyle name="60% - 强调文字颜色 6" xfId="32" builtinId="52"/>
    <cellStyle name="输入" xfId="33" builtinId="20"/>
    <cellStyle name="输出" xfId="34" builtinId="21"/>
    <cellStyle name="检查单元格" xfId="35" builtinId="23"/>
    <cellStyle name="链接单元格" xfId="36" builtinId="24"/>
    <cellStyle name="60% - 强调文字颜色 1" xfId="37" builtinId="32"/>
    <cellStyle name="60% - 强调文字颜色 3" xfId="38" builtinId="40"/>
    <cellStyle name="注释" xfId="39" builtinId="10"/>
    <cellStyle name="标题" xfId="40" builtinId="15"/>
    <cellStyle name="好" xfId="41" builtinId="26"/>
    <cellStyle name="标题 4" xfId="42" builtinId="19"/>
    <cellStyle name="强调文字颜色 1" xfId="43" builtinId="29"/>
    <cellStyle name="适中" xfId="44" builtinId="28"/>
    <cellStyle name="20% - 强调文字颜色 1" xfId="45" builtinId="30"/>
    <cellStyle name="差" xfId="46" builtinId="27"/>
    <cellStyle name="强调文字颜色 2" xfId="47" builtinId="33"/>
    <cellStyle name="40% - 强调文字颜色 1" xfId="48" builtinId="31"/>
    <cellStyle name="常规 2" xfId="49"/>
    <cellStyle name="60% - 强调文字颜色 2" xfId="50" builtinId="36"/>
    <cellStyle name="40% - 强调文字颜色 2" xfId="51" builtinId="35"/>
    <cellStyle name="强调文字颜色 3" xfId="52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1"/>
  <sheetViews>
    <sheetView tabSelected="1" workbookViewId="0">
      <selection activeCell="I20" sqref="I19:I20"/>
    </sheetView>
  </sheetViews>
  <sheetFormatPr defaultColWidth="9" defaultRowHeight="13.5"/>
  <cols>
    <col min="1" max="1" width="25.25" style="1" customWidth="1"/>
    <col min="2" max="2" width="17.375" style="1" customWidth="1"/>
    <col min="3" max="4" width="11.25" style="1" customWidth="1"/>
    <col min="5" max="5" width="61" style="2" customWidth="1"/>
    <col min="6" max="6" width="10.875" style="1" customWidth="1"/>
    <col min="7" max="8" width="10.875" style="2" customWidth="1"/>
    <col min="9" max="9" width="12.625" style="3" customWidth="1"/>
    <col min="10" max="16380" width="9" style="1"/>
    <col min="16381" max="16384" width="9" style="4"/>
  </cols>
  <sheetData>
    <row r="1" ht="30" customHeight="1" spans="1:10">
      <c r="A1" s="5" t="s">
        <v>0</v>
      </c>
      <c r="B1" s="5"/>
      <c r="C1" s="5"/>
      <c r="D1" s="5"/>
      <c r="E1" s="26"/>
      <c r="F1" s="26"/>
      <c r="G1" s="26"/>
      <c r="H1" s="26"/>
      <c r="I1" s="33"/>
      <c r="J1" s="34"/>
    </row>
    <row r="2" ht="15" customHeight="1" spans="1:8">
      <c r="A2" s="6"/>
      <c r="B2" s="6"/>
      <c r="C2" s="6"/>
      <c r="D2" s="6"/>
      <c r="E2" s="6"/>
      <c r="F2" s="6"/>
      <c r="G2" s="6"/>
      <c r="H2" s="6"/>
    </row>
    <row r="3" ht="15" customHeight="1" spans="1:8">
      <c r="A3" s="7"/>
      <c r="B3" s="8" t="s">
        <v>1</v>
      </c>
      <c r="C3" s="8"/>
      <c r="D3" s="8"/>
      <c r="E3" s="27"/>
      <c r="F3" s="6"/>
      <c r="G3" s="28"/>
      <c r="H3" s="29"/>
    </row>
    <row r="4" ht="22.5" customHeight="1" spans="1:16378">
      <c r="A4" s="9" t="s">
        <v>2</v>
      </c>
      <c r="B4" s="10" t="s">
        <v>3</v>
      </c>
      <c r="C4" s="10"/>
      <c r="D4" s="10"/>
      <c r="E4" s="30"/>
      <c r="F4" s="31"/>
      <c r="G4" s="1"/>
      <c r="H4" s="1"/>
      <c r="I4" s="1"/>
      <c r="XEW4" s="4"/>
      <c r="XEX4" s="4"/>
    </row>
    <row r="5" customHeight="1" spans="1:16378">
      <c r="A5" s="9"/>
      <c r="B5" s="11" t="s">
        <v>4</v>
      </c>
      <c r="C5" s="11" t="s">
        <v>5</v>
      </c>
      <c r="D5" s="11" t="s">
        <v>6</v>
      </c>
      <c r="E5" s="30"/>
      <c r="G5" s="1"/>
      <c r="H5" s="1"/>
      <c r="I5" s="1"/>
      <c r="XEW5" s="4"/>
      <c r="XEX5" s="4"/>
    </row>
    <row r="6" s="1" customFormat="1" ht="15" customHeight="1" spans="1:16384">
      <c r="A6" s="12" t="s">
        <v>7</v>
      </c>
      <c r="B6" s="13">
        <v>248153.05</v>
      </c>
      <c r="C6" s="14">
        <v>1</v>
      </c>
      <c r="D6" s="14">
        <v>0.1057</v>
      </c>
      <c r="E6" s="30"/>
      <c r="XEW6" s="4"/>
      <c r="XEX6" s="4"/>
      <c r="XFA6" s="4"/>
      <c r="XFB6" s="4"/>
      <c r="XFC6" s="4"/>
      <c r="XFD6" s="4"/>
    </row>
    <row r="7" ht="15" customHeight="1" spans="1:9">
      <c r="A7" s="15" t="s">
        <v>8</v>
      </c>
      <c r="B7" s="16">
        <v>0.0347</v>
      </c>
      <c r="C7" s="16"/>
      <c r="D7" s="16"/>
      <c r="E7" s="3"/>
      <c r="F7" s="1"/>
      <c r="G7" s="1"/>
      <c r="H7" s="1"/>
      <c r="I7" s="1"/>
    </row>
    <row r="8" ht="15" customHeight="1" spans="1:9">
      <c r="A8" s="15" t="s">
        <v>9</v>
      </c>
      <c r="B8" s="16">
        <v>0.0156</v>
      </c>
      <c r="C8" s="16"/>
      <c r="D8" s="16"/>
      <c r="E8" s="3"/>
      <c r="F8" s="1"/>
      <c r="G8" s="1"/>
      <c r="H8" s="1"/>
      <c r="I8" s="1"/>
    </row>
    <row r="9" ht="20.25" spans="1:8">
      <c r="A9" s="17" t="s">
        <v>10</v>
      </c>
      <c r="B9" s="17"/>
      <c r="C9" s="17"/>
      <c r="D9" s="17"/>
      <c r="E9" s="28"/>
      <c r="F9" s="28"/>
      <c r="G9" s="28"/>
      <c r="H9" s="28"/>
    </row>
    <row r="10" ht="15" customHeight="1" spans="1:8">
      <c r="A10" s="9" t="s">
        <v>2</v>
      </c>
      <c r="B10" s="10" t="s">
        <v>3</v>
      </c>
      <c r="C10" s="10"/>
      <c r="D10" s="10"/>
      <c r="E10" s="32"/>
      <c r="F10" s="28"/>
      <c r="G10" s="32"/>
      <c r="H10" s="32"/>
    </row>
    <row r="11" ht="14.25" spans="1:8">
      <c r="A11" s="9"/>
      <c r="B11" s="11" t="s">
        <v>4</v>
      </c>
      <c r="C11" s="11" t="s">
        <v>5</v>
      </c>
      <c r="D11" s="11" t="s">
        <v>6</v>
      </c>
      <c r="E11" s="28"/>
      <c r="F11" s="28"/>
      <c r="G11" s="32"/>
      <c r="H11" s="32"/>
    </row>
    <row r="12" ht="14.25" spans="1:8">
      <c r="A12" s="15" t="s">
        <v>7</v>
      </c>
      <c r="B12" s="18">
        <v>220957.54</v>
      </c>
      <c r="C12" s="19">
        <v>1</v>
      </c>
      <c r="D12" s="20">
        <v>0.1111</v>
      </c>
      <c r="E12" s="28"/>
      <c r="F12" s="28"/>
      <c r="G12" s="32"/>
      <c r="H12" s="32"/>
    </row>
    <row r="13" ht="14.25" spans="1:8">
      <c r="A13" s="21" t="s">
        <v>11</v>
      </c>
      <c r="B13" s="22">
        <v>22480.35</v>
      </c>
      <c r="C13" s="23">
        <f>B13/B12</f>
        <v>0.101740587807051</v>
      </c>
      <c r="D13" s="23">
        <v>0.0962</v>
      </c>
      <c r="E13" s="32"/>
      <c r="F13" s="28"/>
      <c r="G13" s="32"/>
      <c r="H13" s="32"/>
    </row>
    <row r="14" ht="14.25" spans="1:4">
      <c r="A14" s="21" t="s">
        <v>12</v>
      </c>
      <c r="B14" s="22">
        <v>92359.3</v>
      </c>
      <c r="C14" s="23">
        <f>B14/B12</f>
        <v>0.417995692747122</v>
      </c>
      <c r="D14" s="23">
        <v>0.1504</v>
      </c>
    </row>
    <row r="15" ht="14.25" spans="1:4">
      <c r="A15" s="15" t="s">
        <v>13</v>
      </c>
      <c r="B15" s="22">
        <v>16117.93</v>
      </c>
      <c r="C15" s="23">
        <f>B15/B12</f>
        <v>0.0729458247951167</v>
      </c>
      <c r="D15" s="23">
        <v>0.0438</v>
      </c>
    </row>
    <row r="16" ht="14.25" spans="1:4">
      <c r="A16" s="21" t="s">
        <v>14</v>
      </c>
      <c r="B16" s="22">
        <v>11497.45</v>
      </c>
      <c r="C16" s="23">
        <f>B16/B12</f>
        <v>0.0520346578804235</v>
      </c>
      <c r="D16" s="23">
        <v>0.2664</v>
      </c>
    </row>
    <row r="17" ht="14.25" spans="1:4">
      <c r="A17" s="15" t="s">
        <v>15</v>
      </c>
      <c r="B17" s="22">
        <v>21193.02</v>
      </c>
      <c r="C17" s="23">
        <f>B17/B12</f>
        <v>0.0959144458252024</v>
      </c>
      <c r="D17" s="23">
        <v>0.0527</v>
      </c>
    </row>
    <row r="18" ht="14.25" spans="1:4">
      <c r="A18" s="12" t="s">
        <v>8</v>
      </c>
      <c r="B18" s="24">
        <v>0.0348</v>
      </c>
      <c r="C18" s="24"/>
      <c r="D18" s="24"/>
    </row>
    <row r="19" ht="14.25" spans="1:4">
      <c r="A19" s="15" t="s">
        <v>9</v>
      </c>
      <c r="B19" s="16">
        <v>0.0151</v>
      </c>
      <c r="C19" s="16"/>
      <c r="D19" s="16"/>
    </row>
    <row r="20" ht="20.25" spans="1:4">
      <c r="A20" s="17" t="s">
        <v>16</v>
      </c>
      <c r="B20" s="17"/>
      <c r="C20" s="17"/>
      <c r="D20" s="17"/>
    </row>
    <row r="21" ht="14.25" spans="1:4">
      <c r="A21" s="9" t="s">
        <v>2</v>
      </c>
      <c r="B21" s="10" t="s">
        <v>3</v>
      </c>
      <c r="C21" s="10"/>
      <c r="D21" s="10"/>
    </row>
    <row r="22" ht="14.25" spans="1:4">
      <c r="A22" s="9"/>
      <c r="B22" s="11" t="s">
        <v>4</v>
      </c>
      <c r="C22" s="11" t="s">
        <v>5</v>
      </c>
      <c r="D22" s="11" t="s">
        <v>6</v>
      </c>
    </row>
    <row r="23" ht="14.25" spans="1:4">
      <c r="A23" s="15" t="s">
        <v>7</v>
      </c>
      <c r="B23" s="18">
        <v>18928.3874522676</v>
      </c>
      <c r="C23" s="20">
        <v>1</v>
      </c>
      <c r="D23" s="20">
        <v>0.081</v>
      </c>
    </row>
    <row r="24" ht="14.25" spans="1:4">
      <c r="A24" s="21" t="s">
        <v>11</v>
      </c>
      <c r="B24" s="22">
        <v>4201.5872247503</v>
      </c>
      <c r="C24" s="23">
        <f>B24/B23</f>
        <v>0.221972803301158</v>
      </c>
      <c r="D24" s="23">
        <v>0.0678</v>
      </c>
    </row>
    <row r="25" ht="14.25" spans="1:4">
      <c r="A25" s="21" t="s">
        <v>12</v>
      </c>
      <c r="B25" s="22">
        <v>6110.3570232644</v>
      </c>
      <c r="C25" s="23">
        <f>B25/B23</f>
        <v>0.322814452032594</v>
      </c>
      <c r="D25" s="23">
        <v>0.1239</v>
      </c>
    </row>
    <row r="26" ht="14.25" spans="1:4">
      <c r="A26" s="15" t="s">
        <v>13</v>
      </c>
      <c r="B26" s="22">
        <v>1244.2968130047</v>
      </c>
      <c r="C26" s="23">
        <f>B26/B23</f>
        <v>0.0657370743357028</v>
      </c>
      <c r="D26" s="23">
        <v>-0.0185</v>
      </c>
    </row>
    <row r="27" ht="14.25" spans="1:4">
      <c r="A27" s="21" t="s">
        <v>14</v>
      </c>
      <c r="B27" s="22">
        <v>1620.33899252</v>
      </c>
      <c r="C27" s="23">
        <f>B27/B23</f>
        <v>0.0856036467240576</v>
      </c>
      <c r="D27" s="23">
        <v>0.159</v>
      </c>
    </row>
    <row r="28" ht="14.25" spans="1:4">
      <c r="A28" s="15" t="s">
        <v>15</v>
      </c>
      <c r="B28" s="22">
        <v>1257.1575429812</v>
      </c>
      <c r="C28" s="23">
        <f>B28/B23</f>
        <v>0.0664165157307467</v>
      </c>
      <c r="D28" s="23">
        <v>0.1307</v>
      </c>
    </row>
    <row r="29" ht="14.25" spans="1:4">
      <c r="A29" s="15" t="s">
        <v>8</v>
      </c>
      <c r="B29" s="16">
        <v>0.0357</v>
      </c>
      <c r="C29" s="16"/>
      <c r="D29" s="16"/>
    </row>
    <row r="30" ht="14.25" spans="1:4">
      <c r="A30" s="15" t="s">
        <v>9</v>
      </c>
      <c r="B30" s="16">
        <v>0.0129</v>
      </c>
      <c r="C30" s="16"/>
      <c r="D30" s="16"/>
    </row>
    <row r="31" ht="144" customHeight="1" spans="1:4">
      <c r="A31" s="25" t="s">
        <v>17</v>
      </c>
      <c r="B31" s="25"/>
      <c r="C31" s="25"/>
      <c r="D31" s="25"/>
    </row>
  </sheetData>
  <mergeCells count="17">
    <mergeCell ref="A1:D1"/>
    <mergeCell ref="B3:D3"/>
    <mergeCell ref="B4:D4"/>
    <mergeCell ref="B7:D7"/>
    <mergeCell ref="B8:D8"/>
    <mergeCell ref="A9:D9"/>
    <mergeCell ref="B10:D10"/>
    <mergeCell ref="B18:D18"/>
    <mergeCell ref="B19:D19"/>
    <mergeCell ref="A20:D20"/>
    <mergeCell ref="B21:D21"/>
    <mergeCell ref="B29:D29"/>
    <mergeCell ref="B30:D30"/>
    <mergeCell ref="A31:D31"/>
    <mergeCell ref="A4:A5"/>
    <mergeCell ref="A10:A11"/>
    <mergeCell ref="A21:A22"/>
  </mergeCells>
  <printOptions horizontalCentered="1"/>
  <pageMargins left="0.699305555555556" right="0.699305555555556" top="0.751388888888889" bottom="0.751388888888889" header="0.297916666666667" footer="0.297916666666667"/>
  <pageSetup paperSize="9" scale="15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1.2012银保监会－以集团..汇总表（含独立账户2010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连京晋</cp:lastModifiedBy>
  <dcterms:created xsi:type="dcterms:W3CDTF">2021-05-09T23:04:00Z</dcterms:created>
  <cp:lastPrinted>2021-06-10T08:02:00Z</cp:lastPrinted>
  <dcterms:modified xsi:type="dcterms:W3CDTF">2022-11-02T17:18:50Z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2052-11.8.2.10681</vt:lpwstr>
  </property>
</Properties>
</file>