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635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<sst xmlns="http://schemas.openxmlformats.org/spreadsheetml/2006/main" count="29">
  <si>
    <t xml:space="preserve"> </t>
  </si>
  <si>
    <t>2022年02月人身险公司经营情况表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</si>
  <si>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</si>
  <si>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</si>
  <si>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</si>
  <si>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</si>
  <si>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</si>
  <si>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</si>
  <si>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</si>
  <si>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</si>
  <si>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</si>
  <si>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</si>
  <si>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</si>
  <si>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</si>
  <si>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</si>
  <si>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</si>
  <si>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</si>
  <si>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</si>
  <si>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</si>
  <si>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</si>
  <si>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</si>
  <si>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</si>
  <si>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</si>
  <si>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</si>
  <si>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</si>
  <si>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9、按可比口径，行业汇总原保险保费收入同比增长0.95%，保险金额下降5.05%，赔付支出增长31.88%</t>
  </si>
  <si>
    <t>保费收入同比</t>
  </si>
  <si>
    <t>保险金额同比</t>
  </si>
  <si>
    <t>赔付支出同比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</si>
</sst>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6"/>
      <color indexed="0"/>
      <name val="仿宋_GB2312"/>
      <charset val="134"/>
    </font>
    <font>
      <sz val="16"/>
      <color theme="0" tint="-0.25"/>
      <name val="仿宋_GB2312"/>
      <charset val="134"/>
    </font>
    <font>
      <b/>
      <sz val="18"/>
      <color indexed="8"/>
      <name val="仿宋_GB2312"/>
      <charset val="134"/>
    </font>
    <font>
      <sz val="16"/>
      <color indexed="8"/>
      <name val="仿宋_GB2312"/>
      <charset val="134"/>
    </font>
    <font>
      <b/>
      <sz val="16"/>
      <color indexed="8"/>
      <name val="仿宋_GB2312"/>
      <charset val="134"/>
    </font>
    <font>
      <sz val="16"/>
      <color theme="1"/>
      <name val="仿宋_GB2312"/>
      <charset val="134"/>
    </font>
    <font>
      <sz val="16"/>
      <name val="仿宋_GB2312"/>
      <charset val="134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9"/>
      <color indexed="0"/>
      <name val="Arial"/>
      <charset val="134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2"/>
      <name val="宋体"/>
      <charset val="134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15" borderId="10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4" fillId="0" borderId="0">
      <alignment horizontal="left" vertical="center"/>
    </xf>
    <xf numFmtId="0" fontId="27" fillId="2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0" borderId="0">
      <alignment horizontal="left" vertical="center"/>
    </xf>
    <xf numFmtId="0" fontId="24" fillId="0" borderId="0"/>
  </cellStyleXfs>
  <cellXfs count="17">
    <xf numFmtId="0" fontId="0" fillId="0" borderId="0" xfId="0">
      <alignment vertical="center"/>
    </xf>
    <xf numFmtId="0" fontId="1" fillId="0" borderId="0" xfId="31" applyFont="1" applyFill="1">
      <alignment horizontal="left" vertical="center"/>
    </xf>
    <xf numFmtId="0" fontId="2" fillId="0" borderId="0" xfId="31" applyFont="1" applyFill="1">
      <alignment horizontal="left" vertical="center"/>
    </xf>
    <xf numFmtId="0" fontId="2" fillId="0" borderId="0" xfId="31" applyFont="1" applyFill="1" applyAlignment="1">
      <alignment horizontal="left" vertical="center" wrapText="1"/>
    </xf>
    <xf numFmtId="0" fontId="1" fillId="0" borderId="0" xfId="50" applyFont="1" applyFill="1">
      <alignment horizontal="left" vertical="center"/>
    </xf>
    <xf numFmtId="0" fontId="3" fillId="0" borderId="0" xfId="50" applyFont="1" applyFill="1" applyAlignment="1">
      <alignment horizontal="center" vertical="center"/>
    </xf>
    <xf numFmtId="0" fontId="4" fillId="0" borderId="0" xfId="50" applyFont="1" applyFill="1" applyAlignment="1">
      <alignment horizontal="right" vertical="center"/>
    </xf>
    <xf numFmtId="0" fontId="4" fillId="0" borderId="1" xfId="51" applyFont="1" applyFill="1" applyBorder="1" applyAlignment="1">
      <alignment horizontal="right" wrapText="1"/>
    </xf>
    <xf numFmtId="0" fontId="5" fillId="0" borderId="2" xfId="50" applyFont="1" applyFill="1" applyBorder="1" applyAlignment="1">
      <alignment horizontal="center" vertical="center"/>
    </xf>
    <xf numFmtId="0" fontId="1" fillId="0" borderId="2" xfId="50" applyFont="1" applyFill="1" applyBorder="1">
      <alignment horizontal="left" vertical="center"/>
    </xf>
    <xf numFmtId="1" fontId="6" fillId="0" borderId="2" xfId="50" applyNumberFormat="1" applyFont="1" applyFill="1" applyBorder="1" applyAlignment="1">
      <alignment horizontal="right" vertical="center"/>
    </xf>
    <xf numFmtId="1" fontId="1" fillId="0" borderId="2" xfId="50" applyNumberFormat="1" applyFont="1" applyFill="1" applyBorder="1" applyAlignment="1">
      <alignment horizontal="right" vertical="center"/>
    </xf>
    <xf numFmtId="0" fontId="7" fillId="0" borderId="0" xfId="51" applyFont="1" applyFill="1" applyAlignment="1">
      <alignment horizontal="left" vertical="center" wrapText="1"/>
    </xf>
    <xf numFmtId="0" fontId="7" fillId="0" borderId="0" xfId="51" applyFont="1" applyFill="1" applyAlignment="1">
      <alignment horizontal="left" vertical="center"/>
    </xf>
    <xf numFmtId="0" fontId="7" fillId="0" borderId="0" xfId="51" applyFont="1" applyFill="1" applyAlignment="1">
      <alignment vertical="center"/>
    </xf>
    <xf numFmtId="0" fontId="1" fillId="0" borderId="0" xfId="31" applyFont="1" applyFill="1" applyAlignment="1">
      <alignment horizontal="left" vertical="center" wrapText="1"/>
    </xf>
    <xf numFmtId="10" fontId="2" fillId="0" borderId="0" xfId="31" applyNumberFormat="1" applyFont="1" applyFill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常规_lvxiaoli_2.1006保监会－寿险.险保费收入情况表（2007" xfId="31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_lvxiaoli_1.1006保监会－产险.险保费收入情况表（2007" xfId="50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109</xdr:row>
      <xdr:rowOff>0</xdr:rowOff>
    </xdr:from>
    <xdr:to>
      <xdr:col>1</xdr:col>
      <xdr:colOff>238125</xdr:colOff>
      <xdr:row>109</xdr:row>
      <xdr:rowOff>180975</xdr:rowOff>
    </xdr:to>
    <xdr:pic>
      <xdr:nvPicPr>
        <xdr:cNvPr id="2" name="图片 1"/>
        <xdr:cNvPicPr>
          <a:picLocks noGrp="1" noChangeAspect="1"/>
        </xdr:cNvPicPr>
      </xdr:nvPicPr>
      <xdr:blipFill>
        <a:blip r:embed="rId1"/>
        <a:stretch>
          <a:fillRect/>
        </a:stretch>
      </xdr:blipFill>
      <xdr:spPr>
        <a:xfrm>
          <a:off x="60325" y="33041590"/>
          <a:ext cx="238125" cy="180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="55" zoomScaleNormal="100" zoomScaleSheetLayoutView="55" workbookViewId="0">
      <selection activeCell="G15" sqref="G15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10309.47</v>
      </c>
    </row>
    <row r="6" customHeight="1" spans="2:3">
      <c r="B6" s="9" t="s">
        <v>7</v>
      </c>
      <c r="C6" s="11">
        <v>8783.43</v>
      </c>
    </row>
    <row r="7" customHeight="1" spans="2:3">
      <c r="B7" s="9" t="s">
        <v>8</v>
      </c>
      <c r="C7" s="11">
        <v>86.62</v>
      </c>
    </row>
    <row r="8" customHeight="1" spans="2:3">
      <c r="B8" s="9" t="s">
        <v>9</v>
      </c>
      <c r="C8" s="11">
        <v>1439.41</v>
      </c>
    </row>
    <row r="9" customHeight="1" spans="2:3">
      <c r="B9" s="9" t="s">
        <v>10</v>
      </c>
      <c r="C9" s="11">
        <v>2163.59</v>
      </c>
    </row>
    <row r="10" customHeight="1" spans="2:3">
      <c r="B10" s="9" t="s">
        <v>11</v>
      </c>
      <c r="C10" s="11">
        <v>72.9</v>
      </c>
    </row>
    <row r="11" customHeight="1" spans="2:3">
      <c r="B11" s="9" t="s">
        <v>12</v>
      </c>
      <c r="C11" s="11">
        <v>1744.56</v>
      </c>
    </row>
    <row r="12" customHeight="1" spans="2:3">
      <c r="B12" s="9" t="s">
        <v>13</v>
      </c>
      <c r="C12" s="11">
        <v>2310860.28</v>
      </c>
    </row>
    <row r="13" customHeight="1" spans="2:3">
      <c r="B13" s="9" t="s">
        <v>7</v>
      </c>
      <c r="C13" s="11">
        <v>51275.12</v>
      </c>
    </row>
    <row r="14" customHeight="1" spans="2:3">
      <c r="B14" s="9" t="s">
        <v>8</v>
      </c>
      <c r="C14" s="11">
        <v>520652.52</v>
      </c>
    </row>
    <row r="15" customHeight="1" spans="2:3">
      <c r="B15" s="9" t="s">
        <v>9</v>
      </c>
      <c r="C15" s="11">
        <v>1738932.64</v>
      </c>
    </row>
    <row r="16" customHeight="1" spans="2:3">
      <c r="B16" s="9" t="s">
        <v>14</v>
      </c>
      <c r="C16" s="11">
        <v>12624.84</v>
      </c>
    </row>
    <row r="17" customHeight="1" spans="2:3">
      <c r="B17" s="9" t="s">
        <v>7</v>
      </c>
      <c r="C17" s="11">
        <v>1063.92</v>
      </c>
    </row>
    <row r="18" customHeight="1" spans="2:3">
      <c r="B18" s="9" t="s">
        <v>15</v>
      </c>
      <c r="C18" s="11">
        <v>783.76</v>
      </c>
    </row>
    <row r="19" customHeight="1" spans="2:3">
      <c r="B19" s="9" t="s">
        <v>8</v>
      </c>
      <c r="C19" s="11">
        <v>4457.58</v>
      </c>
    </row>
    <row r="20" customHeight="1" spans="2:3">
      <c r="B20" s="9" t="s">
        <v>9</v>
      </c>
      <c r="C20" s="11">
        <v>7103.33</v>
      </c>
    </row>
    <row r="21" customHeight="1" spans="2:3">
      <c r="B21" s="9" t="s">
        <v>16</v>
      </c>
      <c r="C21" s="10">
        <v>219182.45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5"/>
      <c r="E30" s="2" t="s">
        <v>26</v>
      </c>
      <c r="F30" s="16" t="str">
        <f t="shared" ref="F30:F32" si="0">TEXT(G30/H30-1,"0.00%")</f>
        <v>0.04%</v>
      </c>
      <c r="G30" s="3">
        <f>8018.77</f>
        <v>8018.77</v>
      </c>
      <c r="H30" s="3">
        <f>8015.38</f>
        <v>8015.38</v>
      </c>
    </row>
    <row r="31" ht="96" customHeight="1" spans="5:8">
      <c r="E31" s="2" t="s">
        <v>27</v>
      </c>
      <c r="F31" s="16" t="str">
        <f t="shared" si="0"/>
        <v>6.71%</v>
      </c>
      <c r="G31" s="3">
        <f>1430084.63</f>
        <v>1430084.63</v>
      </c>
      <c r="H31" s="3">
        <f>1340100.32</f>
        <v>1340100.32</v>
      </c>
    </row>
    <row r="32" customHeight="1" spans="5:8">
      <c r="E32" s="2" t="s">
        <v>28</v>
      </c>
      <c r="F32" s="16" t="str">
        <f t="shared" si="0"/>
        <v>34.79%</v>
      </c>
      <c r="G32" s="3">
        <f>1066.66</f>
        <v>1066.66</v>
      </c>
      <c r="H32" s="3">
        <f>791.33</f>
        <v>791.33</v>
      </c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2022-03-28T07:51:05Z</dcterms:created>
  <dcterms:modified xsi:type="dcterms:W3CDTF">2022-03-28T07:51:11Z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