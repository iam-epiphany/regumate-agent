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<sst xmlns="http://schemas.openxmlformats.org/spreadsheetml/2006/main" count="54">
  <si>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</si>
  <si>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2022年08月全国各地区原保险保费收入情况表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</si>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</sst>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_ 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>
      <alignment horizontal="left"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0" borderId="0">
      <alignment horizontal="left" vertical="center"/>
    </xf>
    <xf numFmtId="0" fontId="10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0" borderId="0">
      <alignment horizontal="left" vertical="center"/>
    </xf>
    <xf numFmtId="0" fontId="6" fillId="0" borderId="0">
      <alignment horizontal="left" vertical="center"/>
    </xf>
  </cellStyleXfs>
  <cellXfs count="17">
    <xf numFmtId="0" fontId="0" fillId="0" borderId="0" xfId="0">
      <alignment vertical="center"/>
    </xf>
    <xf numFmtId="176" fontId="1" fillId="0" borderId="0" xfId="33" applyNumberFormat="1" applyFont="1" applyFill="1" applyAlignment="1">
      <alignment horizontal="left" vertical="center"/>
    </xf>
    <xf numFmtId="176" fontId="1" fillId="0" borderId="0" xfId="33" applyNumberFormat="1" applyFont="1" applyFill="1" applyAlignment="1">
      <alignment horizontal="center" vertical="center"/>
    </xf>
    <xf numFmtId="176" fontId="1" fillId="0" borderId="0" xfId="33" applyNumberFormat="1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center" wrapText="1"/>
    </xf>
    <xf numFmtId="176" fontId="2" fillId="0" borderId="0" xfId="0" applyNumberFormat="1" applyFont="1" applyFill="1" applyBorder="1" applyAlignment="1">
      <alignment horizontal="center" wrapText="1"/>
    </xf>
    <xf numFmtId="176" fontId="1" fillId="0" borderId="0" xfId="33" applyNumberFormat="1" applyFont="1" applyFill="1" applyAlignment="1">
      <alignment vertical="center"/>
    </xf>
    <xf numFmtId="176" fontId="1" fillId="0" borderId="0" xfId="33" applyNumberFormat="1" applyFont="1" applyFill="1" applyAlignment="1">
      <alignment vertical="center" wrapText="1"/>
    </xf>
    <xf numFmtId="176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6" fontId="1" fillId="0" borderId="0" xfId="33" applyNumberFormat="1" applyFont="1" applyFill="1" applyAlignment="1">
      <alignment horizontal="right" vertical="center" wrapText="1"/>
    </xf>
    <xf numFmtId="176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7" fontId="4" fillId="0" borderId="2" xfId="51" applyNumberFormat="1" applyFont="1" applyFill="1" applyBorder="1" applyAlignment="1">
      <alignment horizontal="right" vertical="center"/>
    </xf>
    <xf numFmtId="176" fontId="3" fillId="0" borderId="0" xfId="17" applyNumberFormat="1" applyFont="1" applyFill="1" applyBorder="1" applyAlignment="1">
      <alignment horizontal="center" vertical="center" wrapText="1"/>
    </xf>
    <xf numFmtId="176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71" zoomScaleNormal="100" zoomScaleSheetLayoutView="71" workbookViewId="0">
      <selection activeCell="L10" sqref="L10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f>34619.81</f>
        <v>34619.81</v>
      </c>
      <c r="E6" s="14">
        <f>8573.93</f>
        <v>8573.93</v>
      </c>
      <c r="F6" s="14">
        <f>18804.75</f>
        <v>18804.75</v>
      </c>
      <c r="G6" s="14">
        <f>754.33</f>
        <v>754.33</v>
      </c>
      <c r="H6" s="14">
        <f>6486.79</f>
        <v>6486.79</v>
      </c>
    </row>
    <row r="7" s="1" customFormat="1" ht="18.95" customHeight="1" spans="3:8">
      <c r="C7" s="13" t="s">
        <v>12</v>
      </c>
      <c r="D7" s="14">
        <f>26.97</f>
        <v>26.97</v>
      </c>
      <c r="E7" s="14">
        <f>20.35</f>
        <v>20.35</v>
      </c>
      <c r="F7" s="14">
        <f>0.03</f>
        <v>0.03</v>
      </c>
      <c r="G7" s="14">
        <f>2.29</f>
        <v>2.29</v>
      </c>
      <c r="H7" s="14">
        <f>4.3</f>
        <v>4.3</v>
      </c>
    </row>
    <row r="8" s="1" customFormat="1" ht="18.95" customHeight="1" spans="3:8">
      <c r="C8" s="13" t="s">
        <v>13</v>
      </c>
      <c r="D8" s="14">
        <f>1893.3</f>
        <v>1893.3</v>
      </c>
      <c r="E8" s="14">
        <f>318.79</f>
        <v>318.79</v>
      </c>
      <c r="F8" s="14">
        <f>1163.91</f>
        <v>1163.91</v>
      </c>
      <c r="G8" s="14">
        <f>37.49</f>
        <v>37.49</v>
      </c>
      <c r="H8" s="14">
        <f>373.12</f>
        <v>373.12</v>
      </c>
    </row>
    <row r="9" s="1" customFormat="1" ht="18.95" customHeight="1" spans="3:8">
      <c r="C9" s="13" t="s">
        <v>14</v>
      </c>
      <c r="D9" s="14">
        <f>489.2</f>
        <v>489.2</v>
      </c>
      <c r="E9" s="14">
        <f>106.17</f>
        <v>106.17</v>
      </c>
      <c r="F9" s="14">
        <f>290.18</f>
        <v>290.18</v>
      </c>
      <c r="G9" s="14">
        <f>9.42</f>
        <v>9.42</v>
      </c>
      <c r="H9" s="14">
        <f>83.42</f>
        <v>83.42</v>
      </c>
    </row>
    <row r="10" s="1" customFormat="1" ht="18.95" customHeight="1" spans="3:8">
      <c r="C10" s="13" t="s">
        <v>15</v>
      </c>
      <c r="D10" s="14">
        <f>1525.86</f>
        <v>1525.86</v>
      </c>
      <c r="E10" s="14">
        <f>393.18</f>
        <v>393.18</v>
      </c>
      <c r="F10" s="14">
        <f>821.77</f>
        <v>821.77</v>
      </c>
      <c r="G10" s="14">
        <f>28.96</f>
        <v>28.96</v>
      </c>
      <c r="H10" s="14">
        <f>281.96</f>
        <v>281.96</v>
      </c>
    </row>
    <row r="11" s="1" customFormat="1" ht="18.95" customHeight="1" spans="3:8">
      <c r="C11" s="13" t="s">
        <v>16</v>
      </c>
      <c r="D11" s="14">
        <f>735.97</f>
        <v>735.97</v>
      </c>
      <c r="E11" s="14">
        <f>216.23</f>
        <v>216.23</v>
      </c>
      <c r="F11" s="14">
        <f>367.67</f>
        <v>367.67</v>
      </c>
      <c r="G11" s="14">
        <f>13.52</f>
        <v>13.52</v>
      </c>
      <c r="H11" s="14">
        <f>138.55</f>
        <v>138.55</v>
      </c>
    </row>
    <row r="12" s="1" customFormat="1" ht="18.95" customHeight="1" spans="3:8">
      <c r="C12" s="13" t="s">
        <v>17</v>
      </c>
      <c r="D12" s="14">
        <f>295.78</f>
        <v>295.78</v>
      </c>
      <c r="E12" s="14">
        <f>61.62</f>
        <v>61.62</v>
      </c>
      <c r="F12" s="14">
        <f>189.63</f>
        <v>189.63</v>
      </c>
      <c r="G12" s="14">
        <f>4.56</f>
        <v>4.56</v>
      </c>
      <c r="H12" s="14">
        <f>39.98</f>
        <v>39.98</v>
      </c>
    </row>
    <row r="13" s="1" customFormat="1" ht="18.95" customHeight="1" spans="3:8">
      <c r="C13" s="13" t="s">
        <v>18</v>
      </c>
      <c r="D13" s="14">
        <f>1451.85</f>
        <v>1451.85</v>
      </c>
      <c r="E13" s="14">
        <f>376.2</f>
        <v>376.2</v>
      </c>
      <c r="F13" s="14">
        <f>785.71</f>
        <v>785.71</v>
      </c>
      <c r="G13" s="14">
        <f>42.28</f>
        <v>42.28</v>
      </c>
      <c r="H13" s="14">
        <f>247.65</f>
        <v>247.65</v>
      </c>
    </row>
    <row r="14" s="1" customFormat="1" ht="18.95" customHeight="1" spans="3:8">
      <c r="C14" s="13" t="s">
        <v>19</v>
      </c>
      <c r="D14" s="14">
        <f>3228.6</f>
        <v>3228.6</v>
      </c>
      <c r="E14" s="14">
        <f>745.4</f>
        <v>745.4</v>
      </c>
      <c r="F14" s="14">
        <f>1936.64</f>
        <v>1936.64</v>
      </c>
      <c r="G14" s="14">
        <f>63.11</f>
        <v>63.11</v>
      </c>
      <c r="H14" s="14">
        <f>483.45</f>
        <v>483.45</v>
      </c>
    </row>
    <row r="15" s="1" customFormat="1" ht="18.95" customHeight="1" spans="3:8">
      <c r="C15" s="13" t="s">
        <v>20</v>
      </c>
      <c r="D15" s="14">
        <f>1973.63</f>
        <v>1973.63</v>
      </c>
      <c r="E15" s="14">
        <f>532.43</f>
        <v>532.43</v>
      </c>
      <c r="F15" s="14">
        <f>1083.72</f>
        <v>1083.72</v>
      </c>
      <c r="G15" s="14">
        <f>41.71</f>
        <v>41.71</v>
      </c>
      <c r="H15" s="14">
        <f>315.78</f>
        <v>315.78</v>
      </c>
    </row>
    <row r="16" s="1" customFormat="1" ht="18.95" customHeight="1" spans="3:8">
      <c r="C16" s="13" t="s">
        <v>21</v>
      </c>
      <c r="D16" s="14">
        <f>297.46</f>
        <v>297.46</v>
      </c>
      <c r="E16" s="14">
        <f>125.62</f>
        <v>125.62</v>
      </c>
      <c r="F16" s="14">
        <f>133.24</f>
        <v>133.24</v>
      </c>
      <c r="G16" s="14">
        <f>7.45</f>
        <v>7.45</v>
      </c>
      <c r="H16" s="14">
        <f>31.14</f>
        <v>31.14</v>
      </c>
    </row>
    <row r="17" s="1" customFormat="1" ht="18.95" customHeight="1" spans="3:8">
      <c r="C17" s="13" t="s">
        <v>22</v>
      </c>
      <c r="D17" s="14">
        <f>816.52</f>
        <v>816.52</v>
      </c>
      <c r="E17" s="14">
        <f>183.6</f>
        <v>183.6</v>
      </c>
      <c r="F17" s="14">
        <f>446.74</f>
        <v>446.74</v>
      </c>
      <c r="G17" s="14">
        <f>17.94</f>
        <v>17.94</v>
      </c>
      <c r="H17" s="14">
        <f>168.23</f>
        <v>168.23</v>
      </c>
    </row>
    <row r="18" s="1" customFormat="1" ht="18.95" customHeight="1" spans="3:8">
      <c r="C18" s="13" t="s">
        <v>23</v>
      </c>
      <c r="D18" s="14">
        <f>195.9</f>
        <v>195.9</v>
      </c>
      <c r="E18" s="14">
        <f>52.38</f>
        <v>52.38</v>
      </c>
      <c r="F18" s="14">
        <f>107.52</f>
        <v>107.52</v>
      </c>
      <c r="G18" s="14">
        <f>4.79</f>
        <v>4.79</v>
      </c>
      <c r="H18" s="14">
        <f>31.21</f>
        <v>31.21</v>
      </c>
    </row>
    <row r="19" s="1" customFormat="1" ht="18.95" customHeight="1" spans="3:8">
      <c r="C19" s="13" t="s">
        <v>24</v>
      </c>
      <c r="D19" s="14">
        <f>2154.85</f>
        <v>2154.85</v>
      </c>
      <c r="E19" s="14">
        <f>490.96</f>
        <v>490.96</v>
      </c>
      <c r="F19" s="14">
        <f>1142.56</f>
        <v>1142.56</v>
      </c>
      <c r="G19" s="14">
        <f>43.85</f>
        <v>43.85</v>
      </c>
      <c r="H19" s="14">
        <f>477.47</f>
        <v>477.47</v>
      </c>
    </row>
    <row r="20" s="1" customFormat="1" ht="18.95" customHeight="1" spans="3:8">
      <c r="C20" s="13" t="s">
        <v>25</v>
      </c>
      <c r="D20" s="14">
        <f>364.37</f>
        <v>364.37</v>
      </c>
      <c r="E20" s="14">
        <f>105.56</f>
        <v>105.56</v>
      </c>
      <c r="F20" s="14">
        <f>176.33</f>
        <v>176.33</v>
      </c>
      <c r="G20" s="14">
        <f>7.68</f>
        <v>7.68</v>
      </c>
      <c r="H20" s="14">
        <f>74.8</f>
        <v>74.8</v>
      </c>
    </row>
    <row r="21" s="1" customFormat="1" ht="18.95" customHeight="1" spans="3:8">
      <c r="C21" s="13" t="s">
        <v>26</v>
      </c>
      <c r="D21" s="14">
        <f>3151.86</f>
        <v>3151.86</v>
      </c>
      <c r="E21" s="14">
        <f>742.08</f>
        <v>742.08</v>
      </c>
      <c r="F21" s="14">
        <f>1766.9</f>
        <v>1766.9</v>
      </c>
      <c r="G21" s="14">
        <f>86.37</f>
        <v>86.37</v>
      </c>
      <c r="H21" s="14">
        <f>556.51</f>
        <v>556.51</v>
      </c>
    </row>
    <row r="22" s="1" customFormat="1" ht="18.95" customHeight="1" spans="3:8">
      <c r="C22" s="13" t="s">
        <v>27</v>
      </c>
      <c r="D22" s="14">
        <f>1065.5</f>
        <v>1065.5</v>
      </c>
      <c r="E22" s="14">
        <f>275.28</f>
        <v>275.28</v>
      </c>
      <c r="F22" s="14">
        <f>487.7</f>
        <v>487.7</v>
      </c>
      <c r="G22" s="14">
        <f>27.31</f>
        <v>27.31</v>
      </c>
      <c r="H22" s="14">
        <f>275.21</f>
        <v>275.21</v>
      </c>
    </row>
    <row r="23" s="1" customFormat="1" ht="18.95" customHeight="1" spans="3:8">
      <c r="C23" s="13" t="s">
        <v>28</v>
      </c>
      <c r="D23" s="14">
        <f>146.19</f>
        <v>146.19</v>
      </c>
      <c r="E23" s="14">
        <f>54.48</f>
        <v>54.48</v>
      </c>
      <c r="F23" s="14">
        <f>63.11</f>
        <v>63.11</v>
      </c>
      <c r="G23" s="14">
        <f>3.48</f>
        <v>3.48</v>
      </c>
      <c r="H23" s="14">
        <f>25.12</f>
        <v>25.12</v>
      </c>
    </row>
    <row r="24" s="1" customFormat="1" ht="18.95" customHeight="1" spans="3:8">
      <c r="C24" s="13" t="s">
        <v>29</v>
      </c>
      <c r="D24" s="14">
        <f>771.61</f>
        <v>771.61</v>
      </c>
      <c r="E24" s="14">
        <f>169.58</f>
        <v>169.58</v>
      </c>
      <c r="F24" s="14">
        <f>459.2</f>
        <v>459.2</v>
      </c>
      <c r="G24" s="14">
        <f>14.37</f>
        <v>14.37</v>
      </c>
      <c r="H24" s="14">
        <f>128.45</f>
        <v>128.45</v>
      </c>
    </row>
    <row r="25" s="1" customFormat="1" ht="18.95" customHeight="1" spans="3:8">
      <c r="C25" s="13" t="s">
        <v>30</v>
      </c>
      <c r="D25" s="14">
        <f>509.79</f>
        <v>509.79</v>
      </c>
      <c r="E25" s="14">
        <f>136.45</f>
        <v>136.45</v>
      </c>
      <c r="F25" s="14">
        <f>260.22</f>
        <v>260.22</v>
      </c>
      <c r="G25" s="14">
        <f>9</f>
        <v>9</v>
      </c>
      <c r="H25" s="14">
        <f>104.12</f>
        <v>104.12</v>
      </c>
    </row>
    <row r="26" s="1" customFormat="1" ht="18.95" customHeight="1" spans="3:8">
      <c r="C26" s="13" t="s">
        <v>31</v>
      </c>
      <c r="D26" s="14">
        <f>757.9</f>
        <v>757.9</v>
      </c>
      <c r="E26" s="14">
        <f>167.43</f>
        <v>167.43</v>
      </c>
      <c r="F26" s="14">
        <f>419.59</f>
        <v>419.59</v>
      </c>
      <c r="G26" s="14">
        <f>10.46</f>
        <v>10.46</v>
      </c>
      <c r="H26" s="14">
        <f>160.41</f>
        <v>160.41</v>
      </c>
    </row>
    <row r="27" s="1" customFormat="1" ht="18.95" customHeight="1" spans="3:8">
      <c r="C27" s="13" t="s">
        <v>32</v>
      </c>
      <c r="D27" s="14">
        <f>1081.36</f>
        <v>1081.36</v>
      </c>
      <c r="E27" s="14">
        <f>329.28</f>
        <v>329.28</v>
      </c>
      <c r="F27" s="14">
        <f>526.31</f>
        <v>526.31</v>
      </c>
      <c r="G27" s="14">
        <f>24.92</f>
        <v>24.92</v>
      </c>
      <c r="H27" s="14">
        <f>200.84</f>
        <v>200.84</v>
      </c>
    </row>
    <row r="28" s="1" customFormat="1" ht="18.95" customHeight="1" spans="3:8">
      <c r="C28" s="13" t="s">
        <v>33</v>
      </c>
      <c r="D28" s="14">
        <f>733.42</f>
        <v>733.42</v>
      </c>
      <c r="E28" s="14">
        <f>203.13</f>
        <v>203.13</v>
      </c>
      <c r="F28" s="14">
        <f>384.13</f>
        <v>384.13</v>
      </c>
      <c r="G28" s="14">
        <f>14.45</f>
        <v>14.45</v>
      </c>
      <c r="H28" s="14">
        <f>131.71</f>
        <v>131.71</v>
      </c>
    </row>
    <row r="29" s="1" customFormat="1" ht="18.95" customHeight="1" spans="3:8">
      <c r="C29" s="13" t="s">
        <v>34</v>
      </c>
      <c r="D29" s="14">
        <f>1808.29</f>
        <v>1808.29</v>
      </c>
      <c r="E29" s="14">
        <f>406.97</f>
        <v>406.97</v>
      </c>
      <c r="F29" s="14">
        <f>1012.35</f>
        <v>1012.35</v>
      </c>
      <c r="G29" s="14">
        <f>32.3</f>
        <v>32.3</v>
      </c>
      <c r="H29" s="14">
        <f>356.67</f>
        <v>356.67</v>
      </c>
    </row>
    <row r="30" s="1" customFormat="1" ht="18.95" customHeight="1" spans="3:8">
      <c r="C30" s="13" t="s">
        <v>35</v>
      </c>
      <c r="D30" s="14">
        <f>1456.76</f>
        <v>1456.76</v>
      </c>
      <c r="E30" s="14">
        <f>296.07</f>
        <v>296.07</v>
      </c>
      <c r="F30" s="14">
        <f>831.91</f>
        <v>831.91</v>
      </c>
      <c r="G30" s="14">
        <f>27.57</f>
        <v>27.57</v>
      </c>
      <c r="H30" s="14">
        <f>301.2</f>
        <v>301.2</v>
      </c>
    </row>
    <row r="31" s="1" customFormat="1" ht="18.95" customHeight="1" spans="3:8">
      <c r="C31" s="13" t="s">
        <v>36</v>
      </c>
      <c r="D31" s="14">
        <f>1202.86</f>
        <v>1202.86</v>
      </c>
      <c r="E31" s="14">
        <f>284.87</f>
        <v>284.87</v>
      </c>
      <c r="F31" s="14">
        <f>636.43</f>
        <v>636.43</v>
      </c>
      <c r="G31" s="14">
        <f>25.27</f>
        <v>25.27</v>
      </c>
      <c r="H31" s="14">
        <f>256.29</f>
        <v>256.29</v>
      </c>
    </row>
    <row r="32" s="1" customFormat="1" ht="18.95" customHeight="1" spans="3:8">
      <c r="C32" s="13" t="s">
        <v>37</v>
      </c>
      <c r="D32" s="14">
        <f>761.42</f>
        <v>761.42</v>
      </c>
      <c r="E32" s="14">
        <f>150.23</f>
        <v>150.23</v>
      </c>
      <c r="F32" s="14">
        <f>424.19</f>
        <v>424.19</v>
      </c>
      <c r="G32" s="14">
        <f>14.98</f>
        <v>14.98</v>
      </c>
      <c r="H32" s="14">
        <f>172.02</f>
        <v>172.02</v>
      </c>
    </row>
    <row r="33" s="1" customFormat="1" ht="18.95" customHeight="1" spans="3:8">
      <c r="C33" s="13" t="s">
        <v>38</v>
      </c>
      <c r="D33" s="14">
        <f>1723.42</f>
        <v>1723.42</v>
      </c>
      <c r="E33" s="14">
        <f>395.62</f>
        <v>395.62</v>
      </c>
      <c r="F33" s="14">
        <f>960.45</f>
        <v>960.45</v>
      </c>
      <c r="G33" s="14">
        <f>38.59</f>
        <v>38.59</v>
      </c>
      <c r="H33" s="14">
        <f>328.76</f>
        <v>328.76</v>
      </c>
    </row>
    <row r="34" s="1" customFormat="1" ht="18.95" customHeight="1" spans="3:8">
      <c r="C34" s="13" t="s">
        <v>39</v>
      </c>
      <c r="D34" s="14">
        <f>366.32</f>
        <v>366.32</v>
      </c>
      <c r="E34" s="14">
        <f>156.01</f>
        <v>156.01</v>
      </c>
      <c r="F34" s="14">
        <f>136.32</f>
        <v>136.32</v>
      </c>
      <c r="G34" s="14">
        <f>12.14</f>
        <v>12.14</v>
      </c>
      <c r="H34" s="14">
        <f>61.85</f>
        <v>61.85</v>
      </c>
    </row>
    <row r="35" s="1" customFormat="1" ht="18.95" customHeight="1" spans="3:8">
      <c r="C35" s="13" t="s">
        <v>40</v>
      </c>
      <c r="D35" s="14">
        <f>531.86</f>
        <v>531.86</v>
      </c>
      <c r="E35" s="14">
        <f>183.39</f>
        <v>183.39</v>
      </c>
      <c r="F35" s="14">
        <f>211.46</f>
        <v>211.46</v>
      </c>
      <c r="G35" s="14">
        <f>16.99</f>
        <v>16.99</v>
      </c>
      <c r="H35" s="14">
        <f>120.03</f>
        <v>120.03</v>
      </c>
    </row>
    <row r="36" s="1" customFormat="1" ht="18.95" customHeight="1" spans="3:8">
      <c r="C36" s="13" t="s">
        <v>41</v>
      </c>
      <c r="D36" s="14">
        <f>32.48</f>
        <v>32.48</v>
      </c>
      <c r="E36" s="14">
        <f>22.79</f>
        <v>22.79</v>
      </c>
      <c r="F36" s="14">
        <f>4.69</f>
        <v>4.69</v>
      </c>
      <c r="G36" s="14">
        <f>1.53</f>
        <v>1.53</v>
      </c>
      <c r="H36" s="14">
        <f>3.47</f>
        <v>3.47</v>
      </c>
    </row>
    <row r="37" s="1" customFormat="1" ht="18.95" customHeight="1" spans="3:8">
      <c r="C37" s="13" t="s">
        <v>42</v>
      </c>
      <c r="D37" s="14">
        <f>804.92</f>
        <v>804.92</v>
      </c>
      <c r="E37" s="14">
        <f>178.86</f>
        <v>178.86</v>
      </c>
      <c r="F37" s="14">
        <f>475.63</f>
        <v>475.63</v>
      </c>
      <c r="G37" s="14">
        <f>15.08</f>
        <v>15.08</v>
      </c>
      <c r="H37" s="14">
        <f>135.35</f>
        <v>135.35</v>
      </c>
    </row>
    <row r="38" s="1" customFormat="1" ht="18.95" customHeight="1" spans="3:8">
      <c r="C38" s="13" t="s">
        <v>43</v>
      </c>
      <c r="D38" s="14">
        <f>373.31</f>
        <v>373.31</v>
      </c>
      <c r="E38" s="14">
        <f>98.57</f>
        <v>98.57</v>
      </c>
      <c r="F38" s="14">
        <f>206.66</f>
        <v>206.66</v>
      </c>
      <c r="G38" s="14">
        <f>9.15</f>
        <v>9.15</v>
      </c>
      <c r="H38" s="14">
        <f>58.93</f>
        <v>58.93</v>
      </c>
    </row>
    <row r="39" s="1" customFormat="1" ht="18.95" customHeight="1" spans="3:8">
      <c r="C39" s="13" t="s">
        <v>44</v>
      </c>
      <c r="D39" s="14">
        <f>78.85</f>
        <v>78.85</v>
      </c>
      <c r="E39" s="14">
        <f>30.78</f>
        <v>30.78</v>
      </c>
      <c r="F39" s="14">
        <f>33.68</f>
        <v>33.68</v>
      </c>
      <c r="G39" s="14">
        <f>2.38</f>
        <v>2.38</v>
      </c>
      <c r="H39" s="14">
        <f>12.01</f>
        <v>12.01</v>
      </c>
    </row>
    <row r="40" s="1" customFormat="1" ht="18.95" customHeight="1" spans="3:8">
      <c r="C40" s="13" t="s">
        <v>45</v>
      </c>
      <c r="D40" s="14">
        <f>162.28</f>
        <v>162.28</v>
      </c>
      <c r="E40" s="14">
        <f>50.09</f>
        <v>50.09</v>
      </c>
      <c r="F40" s="14">
        <f>81.1</f>
        <v>81.1</v>
      </c>
      <c r="G40" s="14">
        <f>4.83</f>
        <v>4.83</v>
      </c>
      <c r="H40" s="14">
        <f>26.27</f>
        <v>26.27</v>
      </c>
    </row>
    <row r="41" s="1" customFormat="1" ht="18.95" customHeight="1" spans="3:8">
      <c r="C41" s="13" t="s">
        <v>46</v>
      </c>
      <c r="D41" s="14">
        <f>537.7</f>
        <v>537.7</v>
      </c>
      <c r="E41" s="14">
        <f>180.94</f>
        <v>180.94</v>
      </c>
      <c r="F41" s="14">
        <f>240.59</f>
        <v>240.59</v>
      </c>
      <c r="G41" s="14">
        <f>12.13</f>
        <v>12.13</v>
      </c>
      <c r="H41" s="14">
        <f>104.03</f>
        <v>104.03</v>
      </c>
    </row>
    <row r="42" s="1" customFormat="1" ht="18.95" customHeight="1" spans="3:8">
      <c r="C42" s="13" t="s">
        <v>47</v>
      </c>
      <c r="D42" s="14">
        <f>503.9</f>
        <v>503.9</v>
      </c>
      <c r="E42" s="14">
        <f>162.43</f>
        <v>162.43</v>
      </c>
      <c r="F42" s="14">
        <f>240.32</f>
        <v>240.32</v>
      </c>
      <c r="G42" s="14">
        <f>9.87</f>
        <v>9.87</v>
      </c>
      <c r="H42" s="14">
        <f>91.28</f>
        <v>91.28</v>
      </c>
    </row>
    <row r="43" s="1" customFormat="1" ht="18.95" customHeight="1" spans="3:8">
      <c r="C43" s="13" t="s">
        <v>48</v>
      </c>
      <c r="D43" s="14">
        <f>607.53</f>
        <v>607.53</v>
      </c>
      <c r="E43" s="14">
        <f>170.09</f>
        <v>170.09</v>
      </c>
      <c r="F43" s="14">
        <f>296.15</f>
        <v>296.15</v>
      </c>
      <c r="G43" s="14">
        <f>16.12</f>
        <v>16.12</v>
      </c>
      <c r="H43" s="14">
        <f>125.17</f>
        <v>125.17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37.15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2022-09-26T08:34:42Z</dcterms:created>
  <dcterms:modified xsi:type="dcterms:W3CDTF">2022-09-26T08:34:50Z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