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280" windowHeight="7547"/>
  </bookViews>
  <sheets>
    <sheet name="人身保险公司（月度）  " sheetId="1" r:id="rId1"/>
  </sheets>
  <definedNames>
    <definedName name="_xlnm.Print_Area" localSheetId="0">'人身保险公司（月度）  '!$A$1:$C$28</definedName>
  </definedNames>
  <calcPr calcId="144525"/>
</workbook>
</file>

<file path=xl/sharedStrings.xml><?xml version="1.0" encoding="utf-8"?>
<sst xmlns="http://schemas.openxmlformats.org/spreadsheetml/2006/main" count="23">
  <si>
    <t xml:space="preserve"> </t>
  </si>
  <si>
    <t>人身险公司经营情况表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</si>
  <si>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</si>
  <si>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</si>
  <si>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</si>
  <si>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</si>
  <si>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</si>
  <si>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</si>
  <si>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</si>
  <si>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</si>
  <si>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</si>
  <si>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原保险赔付支出</t>
  </si>
  <si>
    <t>保险金额</t>
  </si>
  <si>
    <t>保单件数</t>
  </si>
  <si>
    <t xml:space="preserve">      其中：普通寿险</t>
  </si>
  <si>
    <t>资产总额</t>
  </si>
  <si>
    <t>注：1、本表数据是保险业执行《关于印发&lt;保险合同相关会计处理规定〉的通知》（财会[2009]15号）后，各保险公司按照相关口径要求报送的数据。</t>
  </si>
  <si>
    <t xml:space="preserve">      2、原保险保费收入为按《企业会计准则（2006）》设置的统计指标，指保险企业确认的原保险合同保费收入。</t>
  </si>
  <si>
    <t xml:space="preserve">     3、原保险赔付支出为按《企业会计准则（2006）》设置的统计指标，指保险企业支付的原保险合同赔付款项。</t>
  </si>
  <si>
    <t xml:space="preserve">     4、资产总额为期末数据，其余为本年累计数据。</t>
  </si>
  <si>
    <t xml:space="preserve"> 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</si>
  <si>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</si>
  <si>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7、上述数据未经审计。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</si>
</sst>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</numFmts>
  <fonts count="7">
    <font>
      <sz val="11"/>
      <color indexed="8"/>
      <name val="宋体"/>
      <charset val="134"/>
    </font>
    <font>
      <sz val="16"/>
      <color indexed="0"/>
      <name val="仿宋_GB2312"/>
      <charset val="134"/>
    </font>
    <font>
      <sz val="16"/>
      <color indexed="8"/>
      <name val="仿宋_GB2312"/>
      <charset val="134"/>
    </font>
    <font>
      <b/>
      <sz val="16"/>
      <color indexed="8"/>
      <name val="仿宋_GB2312"/>
      <charset val="134"/>
    </font>
    <font>
      <sz val="16"/>
      <name val="仿宋_GB2312"/>
      <charset val="134"/>
    </font>
    <font>
      <sz val="9"/>
      <color indexed="0"/>
      <name val="Arial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0" fontId="5" fillId="0" borderId="0">
      <alignment horizontal="left"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horizontal="left" vertical="center"/>
    </xf>
  </cellStyleXfs>
  <cellXfs count="15">
    <xf numFmtId="0" fontId="0" fillId="0" borderId="0" xfId="0">
      <alignment vertical="center"/>
    </xf>
    <xf numFmtId="0" fontId="1" fillId="0" borderId="0" xfId="1" applyFont="1" applyFill="1">
      <alignment horizontal="left" vertical="center"/>
    </xf>
    <xf numFmtId="0" fontId="1" fillId="0" borderId="0" xfId="8" applyFont="1" applyFill="1">
      <alignment horizontal="left" vertical="center"/>
    </xf>
    <xf numFmtId="0" fontId="2" fillId="0" borderId="0" xfId="8" applyFont="1" applyFill="1" applyAlignment="1">
      <alignment horizontal="center" vertical="center"/>
    </xf>
    <xf numFmtId="0" fontId="2" fillId="0" borderId="1" xfId="7" applyFont="1" applyFill="1" applyBorder="1" applyAlignment="1">
      <alignment horizontal="right" wrapText="1"/>
    </xf>
    <xf numFmtId="0" fontId="3" fillId="0" borderId="2" xfId="8" applyFont="1" applyFill="1" applyBorder="1" applyAlignment="1">
      <alignment horizontal="center" vertical="center"/>
    </xf>
    <xf numFmtId="0" fontId="1" fillId="0" borderId="2" xfId="8" applyFont="1" applyFill="1" applyBorder="1">
      <alignment horizontal="left" vertical="center"/>
    </xf>
    <xf numFmtId="176" fontId="2" fillId="0" borderId="2" xfId="8" applyNumberFormat="1" applyFont="1" applyFill="1" applyBorder="1" applyAlignment="1">
      <alignment horizontal="right" vertical="center"/>
    </xf>
    <xf numFmtId="176" fontId="1" fillId="0" borderId="2" xfId="8" applyNumberFormat="1" applyFont="1" applyFill="1" applyBorder="1" applyAlignment="1">
      <alignment horizontal="right" vertical="center"/>
    </xf>
    <xf numFmtId="0" fontId="4" fillId="0" borderId="3" xfId="7" applyFont="1" applyFill="1" applyBorder="1" applyAlignment="1">
      <alignment horizontal="left" vertical="center" wrapText="1"/>
    </xf>
    <xf numFmtId="0" fontId="4" fillId="0" borderId="0" xfId="7" applyFont="1" applyFill="1" applyAlignment="1">
      <alignment horizontal="left" wrapText="1"/>
    </xf>
    <xf numFmtId="0" fontId="4" fillId="0" borderId="0" xfId="7" applyFont="1" applyFill="1" applyAlignment="1">
      <alignment horizontal="left" vertical="center" wrapText="1"/>
    </xf>
    <xf numFmtId="0" fontId="4" fillId="0" borderId="0" xfId="7" applyFont="1" applyFill="1" applyAlignment="1">
      <alignment horizontal="left" vertical="top" wrapText="1"/>
    </xf>
    <xf numFmtId="0" fontId="4" fillId="0" borderId="0" xfId="7" applyFont="1" applyFill="1" applyAlignment="1">
      <alignment horizontal="left"/>
    </xf>
    <xf numFmtId="0" fontId="4" fillId="0" borderId="0" xfId="7" applyFont="1" applyFill="1" applyAlignment="1"/>
  </cellXfs>
  <cellStyles count="9">
    <cellStyle name="常规" xfId="0" builtinId="0"/>
    <cellStyle name="常规_lvxiaoli_2.1006保监会－寿险.险保费收入情况表（2007" xfId="1"/>
    <cellStyle name="千位分隔" xfId="2" builtinId="3"/>
    <cellStyle name="货币" xfId="3" builtinId="4"/>
    <cellStyle name="千位分隔[0]" xfId="4" builtinId="6"/>
    <cellStyle name="百分比" xfId="5" builtinId="5"/>
    <cellStyle name="货币[0]" xfId="6" builtinId="7"/>
    <cellStyle name="常规 2" xfId="7"/>
    <cellStyle name="常规_lvxiaoli_1.1006保监会－产险.险保费收入情况表（2007" xfId="8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8"/>
  <sheetViews>
    <sheetView showGridLines="0" tabSelected="1" view="pageBreakPreview" zoomScaleNormal="100" zoomScaleSheetLayoutView="100" workbookViewId="0">
      <selection activeCell="B2" sqref="B2:C2"/>
    </sheetView>
  </sheetViews>
  <sheetFormatPr defaultColWidth="9" defaultRowHeight="20.45" customHeight="1" outlineLevelCol="2"/>
  <cols>
    <col min="1" max="1" width="5.62962962962963" style="1" customWidth="1"/>
    <col min="2" max="2" width="54" style="1" customWidth="1"/>
    <col min="3" max="3" width="39.5" style="1" customWidth="1"/>
    <col min="4" max="16384" width="9" style="1"/>
  </cols>
  <sheetData>
    <row r="1" customHeight="1" spans="1:3">
      <c r="A1" s="1" t="s">
        <v>0</v>
      </c>
      <c r="B1" s="2"/>
      <c r="C1" s="2"/>
    </row>
    <row r="2" customHeight="1" spans="2:3">
      <c r="B2" s="3" t="s">
        <v>1</v>
      </c>
      <c r="C2" s="3"/>
    </row>
    <row r="3" customHeight="1" spans="2:3">
      <c r="B3" s="3"/>
      <c r="C3" s="4" t="s">
        <v>2</v>
      </c>
    </row>
    <row r="4" customHeight="1" spans="2:3">
      <c r="B4" s="5" t="s">
        <v>3</v>
      </c>
      <c r="C4" s="5" t="s">
        <v>4</v>
      </c>
    </row>
    <row r="5" customHeight="1" spans="2:3">
      <c r="B5" s="6" t="s">
        <v>5</v>
      </c>
      <c r="C5" s="7">
        <f>7503.2</f>
        <v>7503.2</v>
      </c>
    </row>
    <row r="6" customHeight="1" spans="2:3">
      <c r="B6" s="6" t="s">
        <v>6</v>
      </c>
      <c r="C6" s="8">
        <f>6686.6</f>
        <v>6686.6</v>
      </c>
    </row>
    <row r="7" customHeight="1" spans="2:3">
      <c r="B7" s="6" t="s">
        <v>7</v>
      </c>
      <c r="C7" s="8">
        <f>60.65</f>
        <v>60.65</v>
      </c>
    </row>
    <row r="8" customHeight="1" spans="2:3">
      <c r="B8" s="6" t="s">
        <v>8</v>
      </c>
      <c r="C8" s="8">
        <f>755.96</f>
        <v>755.96</v>
      </c>
    </row>
    <row r="9" customHeight="1" spans="2:3">
      <c r="B9" s="6" t="s">
        <v>9</v>
      </c>
      <c r="C9" s="8">
        <f>1472.34</f>
        <v>1472.34</v>
      </c>
    </row>
    <row r="10" customHeight="1" spans="2:3">
      <c r="B10" s="6" t="s">
        <v>10</v>
      </c>
      <c r="C10" s="8">
        <f>41.52</f>
        <v>41.52</v>
      </c>
    </row>
    <row r="11" customHeight="1" spans="2:3">
      <c r="B11" s="6" t="s">
        <v>11</v>
      </c>
      <c r="C11" s="8">
        <f>647.51</f>
        <v>647.51</v>
      </c>
    </row>
    <row r="12" customHeight="1" spans="2:3">
      <c r="B12" s="6" t="s">
        <v>12</v>
      </c>
      <c r="C12" s="8">
        <f>1123560.55</f>
        <v>1123560.55</v>
      </c>
    </row>
    <row r="13" customHeight="1" spans="2:3">
      <c r="B13" s="6" t="s">
        <v>6</v>
      </c>
      <c r="C13" s="8">
        <f>41046.65</f>
        <v>41046.65</v>
      </c>
    </row>
    <row r="14" customHeight="1" spans="2:3">
      <c r="B14" s="6" t="s">
        <v>7</v>
      </c>
      <c r="C14" s="8">
        <f>366847.57</f>
        <v>366847.57</v>
      </c>
    </row>
    <row r="15" customHeight="1" spans="2:3">
      <c r="B15" s="6" t="s">
        <v>8</v>
      </c>
      <c r="C15" s="8">
        <f>715666.32</f>
        <v>715666.32</v>
      </c>
    </row>
    <row r="16" customHeight="1" spans="2:3">
      <c r="B16" s="6" t="s">
        <v>13</v>
      </c>
      <c r="C16" s="8">
        <f>7474.89</f>
        <v>7474.89</v>
      </c>
    </row>
    <row r="17" customHeight="1" spans="2:3">
      <c r="B17" s="6" t="s">
        <v>6</v>
      </c>
      <c r="C17" s="8">
        <f>1316.68</f>
        <v>1316.68</v>
      </c>
    </row>
    <row r="18" customHeight="1" spans="2:3">
      <c r="B18" s="6" t="s">
        <v>14</v>
      </c>
      <c r="C18" s="8">
        <f>833.63</f>
        <v>833.63</v>
      </c>
    </row>
    <row r="19" customHeight="1" spans="2:3">
      <c r="B19" s="6" t="s">
        <v>7</v>
      </c>
      <c r="C19" s="8">
        <f>3012.5</f>
        <v>3012.5</v>
      </c>
    </row>
    <row r="20" customHeight="1" spans="2:3">
      <c r="B20" s="6" t="s">
        <v>8</v>
      </c>
      <c r="C20" s="8">
        <f>3145.72</f>
        <v>3145.72</v>
      </c>
    </row>
    <row r="21" customHeight="1" spans="2:3">
      <c r="B21" s="6" t="s">
        <v>15</v>
      </c>
      <c r="C21" s="7">
        <f>174865.96</f>
        <v>174865.96</v>
      </c>
    </row>
    <row r="22" ht="57.6" customHeight="1" spans="2:3">
      <c r="B22" s="9" t="s">
        <v>16</v>
      </c>
      <c r="C22" s="9"/>
    </row>
    <row r="23" ht="57.6" customHeight="1" spans="2:3">
      <c r="B23" s="10" t="s">
        <v>17</v>
      </c>
      <c r="C23" s="10"/>
    </row>
    <row r="24" ht="57.6" customHeight="1" spans="2:3">
      <c r="B24" s="10" t="s">
        <v>18</v>
      </c>
      <c r="C24" s="10"/>
    </row>
    <row r="25" ht="57.6" customHeight="1" spans="2:3">
      <c r="B25" s="11" t="s">
        <v>19</v>
      </c>
      <c r="C25" s="11"/>
    </row>
    <row r="26" ht="90.6" customHeight="1" spans="2:3">
      <c r="B26" s="12" t="s">
        <v>20</v>
      </c>
      <c r="C26" s="12"/>
    </row>
    <row r="27" ht="85.15" customHeight="1" spans="2:3">
      <c r="B27" s="12" t="s">
        <v>21</v>
      </c>
      <c r="C27" s="12"/>
    </row>
    <row r="28" ht="20.4" spans="2:3">
      <c r="B28" s="13" t="s">
        <v>22</v>
      </c>
      <c r="C28" s="14"/>
    </row>
  </sheetData>
  <mergeCells count="7">
    <mergeCell ref="B2:C2"/>
    <mergeCell ref="B22:C22"/>
    <mergeCell ref="B23:C23"/>
    <mergeCell ref="B24:C24"/>
    <mergeCell ref="B25:C25"/>
    <mergeCell ref="B26:C26"/>
    <mergeCell ref="B27:C27"/>
  </mergeCells>
  <printOptions horizontalCentered="1"/>
  <pageMargins left="1.41666666666667" right="1.53888888888889" top="0" bottom="0" header="0.511805555555556" footer="0.511805555555556"/>
  <pageSetup paperSize="9" scale="54" orientation="portrait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银监会</dc:creator>
  <dcterms:created xsi:type="dcterms:W3CDTF">2020-03-20T10:18:01Z</dcterms:created>
  <dcterms:modified xsi:type="dcterms:W3CDTF">2020-03-20T10:18:07Z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2052-9.1.0.5026</vt:lpwstr>
  </property>
</Properties>
</file>