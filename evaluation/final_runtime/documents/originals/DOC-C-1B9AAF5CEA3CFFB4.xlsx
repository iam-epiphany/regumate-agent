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<sst xmlns="http://schemas.openxmlformats.org/spreadsheetml/2006/main" count="21">
  <si>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</si>
  <si>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2023年02月财产保险公司经营情况表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</si>
  <si>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</si>
  <si>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</si>
  <si>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</si>
  <si>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</si>
  <si>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</si>
  <si>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</si>
  <si>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</si>
  <si>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</si>
  <si>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</si>
  <si>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</si>
  <si>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</si>
  <si>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</si>
  <si>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</si>
  <si>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</si>
  <si>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</si>
  <si>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</si>
  <si>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</si>
  <si>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</si>
  <si>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6、按可比口径，行业汇总原保险保费收入同比增长10.85%，保险金额下降17.66%，赔款支出增长8.93%。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</si>
</sst>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indexed="0"/>
      <name val="Arial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6" fillId="0" borderId="0">
      <alignment horizontal="left" vertical="center"/>
    </xf>
    <xf numFmtId="0" fontId="27" fillId="0" borderId="0"/>
  </cellStyleXfs>
  <cellXfs count="14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>
      <alignment horizontal="left" vertical="center"/>
    </xf>
    <xf numFmtId="0" fontId="3" fillId="0" borderId="0" xfId="50" applyFont="1" applyFill="1" applyBorder="1" applyAlignment="1">
      <alignment horizontal="right" wrapText="1"/>
    </xf>
    <xf numFmtId="0" fontId="3" fillId="0" borderId="0" xfId="49" applyFont="1" applyFill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3" fillId="0" borderId="2" xfId="49" applyFont="1" applyFill="1" applyBorder="1">
      <alignment horizontal="left" vertical="center"/>
    </xf>
    <xf numFmtId="176" fontId="5" fillId="0" borderId="2" xfId="49" applyNumberFormat="1" applyFont="1" applyFill="1" applyBorder="1" applyAlignment="1">
      <alignment horizontal="right" vertical="center"/>
    </xf>
    <xf numFmtId="0" fontId="3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left" vertical="center"/>
    </xf>
    <xf numFmtId="0" fontId="3" fillId="0" borderId="0" xfId="50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115" zoomScaleNormal="100" zoomScaleSheetLayoutView="115" workbookViewId="0">
      <selection activeCell="F8" sqref="F8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f>2939.67</f>
        <v>2939.67</v>
      </c>
    </row>
    <row r="8" spans="2:3">
      <c r="B8" s="9" t="s">
        <v>6</v>
      </c>
      <c r="C8" s="10">
        <f>1345.81</f>
        <v>1345.81</v>
      </c>
    </row>
    <row r="9" spans="2:3">
      <c r="B9" s="9" t="s">
        <v>7</v>
      </c>
      <c r="C9" s="10">
        <f>237.42</f>
        <v>237.42</v>
      </c>
    </row>
    <row r="10" spans="2:3">
      <c r="B10" s="9" t="s">
        <v>8</v>
      </c>
      <c r="C10" s="10">
        <f>219.81</f>
        <v>219.81</v>
      </c>
    </row>
    <row r="11" spans="2:3">
      <c r="B11" s="9" t="s">
        <v>9</v>
      </c>
      <c r="C11" s="10">
        <f>588.94</f>
        <v>588.94</v>
      </c>
    </row>
    <row r="12" spans="2:3">
      <c r="B12" s="9" t="s">
        <v>10</v>
      </c>
      <c r="C12" s="10">
        <f>80.53</f>
        <v>80.53</v>
      </c>
    </row>
    <row r="13" spans="2:3">
      <c r="B13" s="9" t="s">
        <v>11</v>
      </c>
      <c r="C13" s="10">
        <f>1430.88</f>
        <v>1430.88</v>
      </c>
    </row>
    <row r="14" spans="2:3">
      <c r="B14" s="9" t="s">
        <v>12</v>
      </c>
      <c r="C14" s="10">
        <f>18020585.53</f>
        <v>18020585.53</v>
      </c>
    </row>
    <row r="15" spans="2:3">
      <c r="B15" s="9" t="s">
        <v>6</v>
      </c>
      <c r="C15" s="10">
        <f>1358792.47</f>
        <v>1358792.47</v>
      </c>
    </row>
    <row r="16" spans="2:3">
      <c r="B16" s="9" t="s">
        <v>7</v>
      </c>
      <c r="C16" s="10">
        <f>6304801.81</f>
        <v>6304801.81</v>
      </c>
    </row>
    <row r="17" spans="2:3">
      <c r="B17" s="9" t="s">
        <v>8</v>
      </c>
      <c r="C17" s="10">
        <f>7684.96</f>
        <v>7684.96</v>
      </c>
    </row>
    <row r="18" spans="2:3">
      <c r="B18" s="9" t="s">
        <v>13</v>
      </c>
      <c r="C18" s="10">
        <f>983934.22</f>
        <v>983934.22</v>
      </c>
    </row>
    <row r="19" spans="2:3">
      <c r="B19" s="9" t="s">
        <v>6</v>
      </c>
      <c r="C19" s="10">
        <f>10346.38</f>
        <v>10346.38</v>
      </c>
    </row>
    <row r="20" spans="2:3">
      <c r="B20" s="9" t="s">
        <v>7</v>
      </c>
      <c r="C20" s="10">
        <f>431874.74</f>
        <v>431874.74</v>
      </c>
    </row>
    <row r="21" spans="2:3">
      <c r="B21" s="9" t="s">
        <v>14</v>
      </c>
      <c r="C21" s="10">
        <f>27494.86</f>
        <v>27494.86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2023-03-29T08:03:56Z</dcterms:created>
  <dcterms:modified xsi:type="dcterms:W3CDTF">2023-03-29T08:04:06Z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