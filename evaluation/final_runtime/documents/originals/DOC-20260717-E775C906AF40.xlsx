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80" windowHeight="9924"/>
  </bookViews>
  <sheets>
    <sheet name="各地区数据（月度）" sheetId="1" r:id="rId1"/>
  </sheets>
  <definedNames>
    <definedName name="_xlnm.Print_Area" localSheetId="0">'各地区数据（月度）'!$A$1:$H$46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<sst xmlns="http://schemas.openxmlformats.org/spreadsheetml/2006/main" count="54">
  <si>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</si>
  <si>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2022年07月全国各地区原保险保费收入情况表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</si>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</sst>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>
      <alignment horizontal="left"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16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24" fillId="0" borderId="0">
      <alignment horizontal="left" vertical="center"/>
    </xf>
  </cellStyleXfs>
  <cellXfs count="17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1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76" fontId="4" fillId="0" borderId="2" xfId="51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Normal="100" zoomScaleSheetLayoutView="100" workbookViewId="0">
      <selection activeCell="J14" sqref="J14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f>31483.69</f>
        <v>31483.69</v>
      </c>
      <c r="E6" s="14">
        <f>7578.6</f>
        <v>7578.6</v>
      </c>
      <c r="F6" s="14">
        <f>17324.8</f>
        <v>17324.8</v>
      </c>
      <c r="G6" s="14">
        <f>676.26</f>
        <v>676.26</v>
      </c>
      <c r="H6" s="14">
        <f>5904.02</f>
        <v>5904.02</v>
      </c>
    </row>
    <row r="7" s="1" customFormat="1" ht="18.95" customHeight="1" spans="3:8">
      <c r="C7" s="13" t="s">
        <v>12</v>
      </c>
      <c r="D7" s="14">
        <f>24.33</f>
        <v>24.33</v>
      </c>
      <c r="E7" s="14">
        <f>18.61</f>
        <v>18.61</v>
      </c>
      <c r="F7" s="14">
        <f>0.03</f>
        <v>0.03</v>
      </c>
      <c r="G7" s="14">
        <f>2</f>
        <v>2</v>
      </c>
      <c r="H7" s="14">
        <f>3.68</f>
        <v>3.68</v>
      </c>
    </row>
    <row r="8" s="1" customFormat="1" ht="18.95" customHeight="1" spans="3:8">
      <c r="C8" s="13" t="s">
        <v>13</v>
      </c>
      <c r="D8" s="14">
        <f>1719.77</f>
        <v>1719.77</v>
      </c>
      <c r="E8" s="14">
        <f>279.07</f>
        <v>279.07</v>
      </c>
      <c r="F8" s="14">
        <f>1065.21</f>
        <v>1065.21</v>
      </c>
      <c r="G8" s="14">
        <f>34.24</f>
        <v>34.24</v>
      </c>
      <c r="H8" s="14">
        <f>341.25</f>
        <v>341.25</v>
      </c>
    </row>
    <row r="9" s="1" customFormat="1" ht="18.95" customHeight="1" spans="3:8">
      <c r="C9" s="13" t="s">
        <v>14</v>
      </c>
      <c r="D9" s="14">
        <f>443.13</f>
        <v>443.13</v>
      </c>
      <c r="E9" s="14">
        <f>93.12</f>
        <v>93.12</v>
      </c>
      <c r="F9" s="14">
        <f>265.07</f>
        <v>265.07</v>
      </c>
      <c r="G9" s="14">
        <f>8.56</f>
        <v>8.56</v>
      </c>
      <c r="H9" s="14">
        <f>76.38</f>
        <v>76.38</v>
      </c>
    </row>
    <row r="10" s="1" customFormat="1" ht="18.95" customHeight="1" spans="3:8">
      <c r="C10" s="13" t="s">
        <v>15</v>
      </c>
      <c r="D10" s="14">
        <f>1385.81</f>
        <v>1385.81</v>
      </c>
      <c r="E10" s="14">
        <f>345.12</f>
        <v>345.12</v>
      </c>
      <c r="F10" s="14">
        <f>757.97</f>
        <v>757.97</v>
      </c>
      <c r="G10" s="14">
        <f>25.86</f>
        <v>25.86</v>
      </c>
      <c r="H10" s="14">
        <f>256.86</f>
        <v>256.86</v>
      </c>
    </row>
    <row r="11" s="1" customFormat="1" ht="18.95" customHeight="1" spans="3:8">
      <c r="C11" s="13" t="s">
        <v>16</v>
      </c>
      <c r="D11" s="14">
        <f>667.7</f>
        <v>667.7</v>
      </c>
      <c r="E11" s="14">
        <f>192.32</f>
        <v>192.32</v>
      </c>
      <c r="F11" s="14">
        <f>336.99</f>
        <v>336.99</v>
      </c>
      <c r="G11" s="14">
        <f>12.11</f>
        <v>12.11</v>
      </c>
      <c r="H11" s="14">
        <f>126.28</f>
        <v>126.28</v>
      </c>
    </row>
    <row r="12" s="1" customFormat="1" ht="18.95" customHeight="1" spans="3:8">
      <c r="C12" s="13" t="s">
        <v>17</v>
      </c>
      <c r="D12" s="14">
        <f>269.4</f>
        <v>269.4</v>
      </c>
      <c r="E12" s="14">
        <f>54.68</f>
        <v>54.68</v>
      </c>
      <c r="F12" s="14">
        <f>174.73</f>
        <v>174.73</v>
      </c>
      <c r="G12" s="14">
        <f>4.08</f>
        <v>4.08</v>
      </c>
      <c r="H12" s="14">
        <f>35.91</f>
        <v>35.91</v>
      </c>
    </row>
    <row r="13" s="1" customFormat="1" ht="18.95" customHeight="1" spans="3:8">
      <c r="C13" s="13" t="s">
        <v>18</v>
      </c>
      <c r="D13" s="14">
        <f>1293.11</f>
        <v>1293.11</v>
      </c>
      <c r="E13" s="14">
        <f>330.4</f>
        <v>330.4</v>
      </c>
      <c r="F13" s="14">
        <f>706.2</f>
        <v>706.2</v>
      </c>
      <c r="G13" s="14">
        <f>37.98</f>
        <v>37.98</v>
      </c>
      <c r="H13" s="14">
        <f>218.54</f>
        <v>218.54</v>
      </c>
    </row>
    <row r="14" s="1" customFormat="1" ht="18.95" customHeight="1" spans="3:8">
      <c r="C14" s="13" t="s">
        <v>19</v>
      </c>
      <c r="D14" s="14">
        <f>2944.42</f>
        <v>2944.42</v>
      </c>
      <c r="E14" s="14">
        <f>653.38</f>
        <v>653.38</v>
      </c>
      <c r="F14" s="14">
        <f>1794.61</f>
        <v>1794.61</v>
      </c>
      <c r="G14" s="14">
        <f>56.77</f>
        <v>56.77</v>
      </c>
      <c r="H14" s="14">
        <f>439.65</f>
        <v>439.65</v>
      </c>
    </row>
    <row r="15" s="1" customFormat="1" ht="18.95" customHeight="1" spans="3:8">
      <c r="C15" s="13" t="s">
        <v>20</v>
      </c>
      <c r="D15" s="14">
        <f>1791.79</f>
        <v>1791.79</v>
      </c>
      <c r="E15" s="14">
        <f>465.63</f>
        <v>465.63</v>
      </c>
      <c r="F15" s="14">
        <f>999.58</f>
        <v>999.58</v>
      </c>
      <c r="G15" s="14">
        <f>37.12</f>
        <v>37.12</v>
      </c>
      <c r="H15" s="14">
        <f>289.47</f>
        <v>289.47</v>
      </c>
    </row>
    <row r="16" s="1" customFormat="1" ht="18.95" customHeight="1" spans="3:8">
      <c r="C16" s="13" t="s">
        <v>21</v>
      </c>
      <c r="D16" s="14">
        <f>266.19</f>
        <v>266.19</v>
      </c>
      <c r="E16" s="14">
        <f>109.42</f>
        <v>109.42</v>
      </c>
      <c r="F16" s="14">
        <f>122.08</f>
        <v>122.08</v>
      </c>
      <c r="G16" s="14">
        <f>6.6</f>
        <v>6.6</v>
      </c>
      <c r="H16" s="14">
        <f>28.09</f>
        <v>28.09</v>
      </c>
    </row>
    <row r="17" s="1" customFormat="1" ht="18.95" customHeight="1" spans="3:8">
      <c r="C17" s="13" t="s">
        <v>22</v>
      </c>
      <c r="D17" s="14">
        <f>742.44</f>
        <v>742.44</v>
      </c>
      <c r="E17" s="14">
        <f>161.33</f>
        <v>161.33</v>
      </c>
      <c r="F17" s="14">
        <f>411.89</f>
        <v>411.89</v>
      </c>
      <c r="G17" s="14">
        <f>16.1</f>
        <v>16.1</v>
      </c>
      <c r="H17" s="14">
        <f>153.13</f>
        <v>153.13</v>
      </c>
    </row>
    <row r="18" s="1" customFormat="1" ht="18.95" customHeight="1" spans="3:8">
      <c r="C18" s="13" t="s">
        <v>23</v>
      </c>
      <c r="D18" s="14">
        <f>174.5</f>
        <v>174.5</v>
      </c>
      <c r="E18" s="14">
        <f>46.46</f>
        <v>46.46</v>
      </c>
      <c r="F18" s="14">
        <f>96.8</f>
        <v>96.8</v>
      </c>
      <c r="G18" s="14">
        <f>4.32</f>
        <v>4.32</v>
      </c>
      <c r="H18" s="14">
        <f>26.91</f>
        <v>26.91</v>
      </c>
    </row>
    <row r="19" s="1" customFormat="1" ht="18.95" customHeight="1" spans="3:8">
      <c r="C19" s="13" t="s">
        <v>24</v>
      </c>
      <c r="D19" s="14">
        <f>1954.32</f>
        <v>1954.32</v>
      </c>
      <c r="E19" s="14">
        <f>427.36</f>
        <v>427.36</v>
      </c>
      <c r="F19" s="14">
        <f>1051.3</f>
        <v>1051.3</v>
      </c>
      <c r="G19" s="14">
        <f>39.49</f>
        <v>39.49</v>
      </c>
      <c r="H19" s="14">
        <f>436.18</f>
        <v>436.18</v>
      </c>
    </row>
    <row r="20" s="1" customFormat="1" ht="18.95" customHeight="1" spans="3:8">
      <c r="C20" s="13" t="s">
        <v>25</v>
      </c>
      <c r="D20" s="14">
        <f>329.13</f>
        <v>329.13</v>
      </c>
      <c r="E20" s="14">
        <f>92.99</f>
        <v>92.99</v>
      </c>
      <c r="F20" s="14">
        <f>161.94</f>
        <v>161.94</v>
      </c>
      <c r="G20" s="14">
        <f>6.81</f>
        <v>6.81</v>
      </c>
      <c r="H20" s="14">
        <f>67.4</f>
        <v>67.4</v>
      </c>
    </row>
    <row r="21" s="1" customFormat="1" ht="18.95" customHeight="1" spans="3:8">
      <c r="C21" s="13" t="s">
        <v>26</v>
      </c>
      <c r="D21" s="14">
        <f>2839.99</f>
        <v>2839.99</v>
      </c>
      <c r="E21" s="14">
        <f>651.06</f>
        <v>651.06</v>
      </c>
      <c r="F21" s="14">
        <f>1613.17</f>
        <v>1613.17</v>
      </c>
      <c r="G21" s="14">
        <f>76.94</f>
        <v>76.94</v>
      </c>
      <c r="H21" s="14">
        <f>498.83</f>
        <v>498.83</v>
      </c>
    </row>
    <row r="22" s="1" customFormat="1" ht="18.95" customHeight="1" spans="3:8">
      <c r="C22" s="13" t="s">
        <v>27</v>
      </c>
      <c r="D22" s="14">
        <f>949.53</f>
        <v>949.53</v>
      </c>
      <c r="E22" s="14">
        <f>242.03</f>
        <v>242.03</v>
      </c>
      <c r="F22" s="14">
        <f>435.6</f>
        <v>435.6</v>
      </c>
      <c r="G22" s="14">
        <f>24.35</f>
        <v>24.35</v>
      </c>
      <c r="H22" s="14">
        <f>247.55</f>
        <v>247.55</v>
      </c>
    </row>
    <row r="23" s="1" customFormat="1" ht="18.95" customHeight="1" spans="3:8">
      <c r="C23" s="13" t="s">
        <v>28</v>
      </c>
      <c r="D23" s="14">
        <f>133.62</f>
        <v>133.62</v>
      </c>
      <c r="E23" s="14">
        <f>48.81</f>
        <v>48.81</v>
      </c>
      <c r="F23" s="14">
        <f>58.41</f>
        <v>58.41</v>
      </c>
      <c r="G23" s="14">
        <f>3.09</f>
        <v>3.09</v>
      </c>
      <c r="H23" s="14">
        <f>23.31</f>
        <v>23.31</v>
      </c>
    </row>
    <row r="24" s="1" customFormat="1" ht="18.95" customHeight="1" spans="3:8">
      <c r="C24" s="13" t="s">
        <v>29</v>
      </c>
      <c r="D24" s="14">
        <f>704.82</f>
        <v>704.82</v>
      </c>
      <c r="E24" s="14">
        <f>150.95</f>
        <v>150.95</v>
      </c>
      <c r="F24" s="14">
        <f>422.25</f>
        <v>422.25</v>
      </c>
      <c r="G24" s="14">
        <f>12.83</f>
        <v>12.83</v>
      </c>
      <c r="H24" s="14">
        <f>118.8</f>
        <v>118.8</v>
      </c>
    </row>
    <row r="25" s="1" customFormat="1" ht="18.95" customHeight="1" spans="3:8">
      <c r="C25" s="13" t="s">
        <v>30</v>
      </c>
      <c r="D25" s="14">
        <f>463.47</f>
        <v>463.47</v>
      </c>
      <c r="E25" s="14">
        <f>121.31</f>
        <v>121.31</v>
      </c>
      <c r="F25" s="14">
        <f>239.55</f>
        <v>239.55</v>
      </c>
      <c r="G25" s="14">
        <f>8.02</f>
        <v>8.02</v>
      </c>
      <c r="H25" s="14">
        <f>94.59</f>
        <v>94.59</v>
      </c>
    </row>
    <row r="26" s="1" customFormat="1" ht="18.95" customHeight="1" spans="3:8">
      <c r="C26" s="13" t="s">
        <v>31</v>
      </c>
      <c r="D26" s="14">
        <f>695.67</f>
        <v>695.67</v>
      </c>
      <c r="E26" s="14">
        <f>152.93</f>
        <v>152.93</v>
      </c>
      <c r="F26" s="14">
        <f>388.82</f>
        <v>388.82</v>
      </c>
      <c r="G26" s="14">
        <f>9.38</f>
        <v>9.38</v>
      </c>
      <c r="H26" s="14">
        <f>144.55</f>
        <v>144.55</v>
      </c>
    </row>
    <row r="27" s="1" customFormat="1" ht="18.95" customHeight="1" spans="3:8">
      <c r="C27" s="13" t="s">
        <v>32</v>
      </c>
      <c r="D27" s="14">
        <f>979.45</f>
        <v>979.45</v>
      </c>
      <c r="E27" s="14">
        <f>287.68</f>
        <v>287.68</v>
      </c>
      <c r="F27" s="14">
        <f>482.81</f>
        <v>482.81</v>
      </c>
      <c r="G27" s="14">
        <f>22.6</f>
        <v>22.6</v>
      </c>
      <c r="H27" s="14">
        <f>186.36</f>
        <v>186.36</v>
      </c>
    </row>
    <row r="28" s="1" customFormat="1" ht="18.95" customHeight="1" spans="3:8">
      <c r="C28" s="13" t="s">
        <v>33</v>
      </c>
      <c r="D28" s="14">
        <f>674.07</f>
        <v>674.07</v>
      </c>
      <c r="E28" s="14">
        <f>181.3</f>
        <v>181.3</v>
      </c>
      <c r="F28" s="14">
        <f>357.98</f>
        <v>357.98</v>
      </c>
      <c r="G28" s="14">
        <f>12.89</f>
        <v>12.89</v>
      </c>
      <c r="H28" s="14">
        <f>121.91</f>
        <v>121.91</v>
      </c>
    </row>
    <row r="29" s="1" customFormat="1" ht="18.95" customHeight="1" spans="3:8">
      <c r="C29" s="13" t="s">
        <v>34</v>
      </c>
      <c r="D29" s="14">
        <f>1653.15</f>
        <v>1653.15</v>
      </c>
      <c r="E29" s="14">
        <f>363.28</f>
        <v>363.28</v>
      </c>
      <c r="F29" s="14">
        <f>936.44</f>
        <v>936.44</v>
      </c>
      <c r="G29" s="14">
        <f>28.98</f>
        <v>28.98</v>
      </c>
      <c r="H29" s="14">
        <f>324.46</f>
        <v>324.46</v>
      </c>
    </row>
    <row r="30" s="1" customFormat="1" ht="18.95" customHeight="1" spans="3:8">
      <c r="C30" s="13" t="s">
        <v>35</v>
      </c>
      <c r="D30" s="14">
        <f>1341.09</f>
        <v>1341.09</v>
      </c>
      <c r="E30" s="14">
        <f>266.45</f>
        <v>266.45</v>
      </c>
      <c r="F30" s="14">
        <f>775.68</f>
        <v>775.68</v>
      </c>
      <c r="G30" s="14">
        <f>24.95</f>
        <v>24.95</v>
      </c>
      <c r="H30" s="14">
        <f>274.02</f>
        <v>274.02</v>
      </c>
    </row>
    <row r="31" s="1" customFormat="1" ht="18.95" customHeight="1" spans="3:8">
      <c r="C31" s="13" t="s">
        <v>36</v>
      </c>
      <c r="D31" s="14">
        <f>1100.23</f>
        <v>1100.23</v>
      </c>
      <c r="E31" s="14">
        <f>249.1</f>
        <v>249.1</v>
      </c>
      <c r="F31" s="14">
        <f>588.46</f>
        <v>588.46</v>
      </c>
      <c r="G31" s="14">
        <f>22.59</f>
        <v>22.59</v>
      </c>
      <c r="H31" s="14">
        <f>240.08</f>
        <v>240.08</v>
      </c>
    </row>
    <row r="32" s="1" customFormat="1" ht="18.95" customHeight="1" spans="3:8">
      <c r="C32" s="13" t="s">
        <v>37</v>
      </c>
      <c r="D32" s="14">
        <f>707.38</f>
        <v>707.38</v>
      </c>
      <c r="E32" s="14">
        <f>133.24</f>
        <v>133.24</v>
      </c>
      <c r="F32" s="14">
        <f>398.94</f>
        <v>398.94</v>
      </c>
      <c r="G32" s="14">
        <f>13.57</f>
        <v>13.57</v>
      </c>
      <c r="H32" s="14">
        <f>161.63</f>
        <v>161.63</v>
      </c>
    </row>
    <row r="33" s="1" customFormat="1" ht="18.95" customHeight="1" spans="3:8">
      <c r="C33" s="13" t="s">
        <v>38</v>
      </c>
      <c r="D33" s="14">
        <f>1566.66</f>
        <v>1566.66</v>
      </c>
      <c r="E33" s="14">
        <f>352.1</f>
        <v>352.1</v>
      </c>
      <c r="F33" s="14">
        <f>893.47</f>
        <v>893.47</v>
      </c>
      <c r="G33" s="14">
        <f>34.69</f>
        <v>34.69</v>
      </c>
      <c r="H33" s="14">
        <f>286.4</f>
        <v>286.4</v>
      </c>
    </row>
    <row r="34" s="1" customFormat="1" ht="18.95" customHeight="1" spans="3:8">
      <c r="C34" s="13" t="s">
        <v>39</v>
      </c>
      <c r="D34" s="14">
        <f>330.24</f>
        <v>330.24</v>
      </c>
      <c r="E34" s="14">
        <f>138.52</f>
        <v>138.52</v>
      </c>
      <c r="F34" s="14">
        <f>123.42</f>
        <v>123.42</v>
      </c>
      <c r="G34" s="14">
        <f>10.72</f>
        <v>10.72</v>
      </c>
      <c r="H34" s="14">
        <f>57.58</f>
        <v>57.58</v>
      </c>
    </row>
    <row r="35" s="1" customFormat="1" ht="18.95" customHeight="1" spans="3:8">
      <c r="C35" s="13" t="s">
        <v>40</v>
      </c>
      <c r="D35" s="14">
        <f>483.23</f>
        <v>483.23</v>
      </c>
      <c r="E35" s="14">
        <f>162.37</f>
        <v>162.37</v>
      </c>
      <c r="F35" s="14">
        <f>193.97</f>
        <v>193.97</v>
      </c>
      <c r="G35" s="14">
        <f>15.1</f>
        <v>15.1</v>
      </c>
      <c r="H35" s="14">
        <f>111.79</f>
        <v>111.79</v>
      </c>
    </row>
    <row r="36" s="1" customFormat="1" ht="18.95" customHeight="1" spans="3:8">
      <c r="C36" s="13" t="s">
        <v>41</v>
      </c>
      <c r="D36" s="14">
        <f>31.11</f>
        <v>31.11</v>
      </c>
      <c r="E36" s="14">
        <f>21.9</f>
        <v>21.9</v>
      </c>
      <c r="F36" s="14">
        <f>4.44</f>
        <v>4.44</v>
      </c>
      <c r="G36" s="14">
        <f>1.42</f>
        <v>1.42</v>
      </c>
      <c r="H36" s="14">
        <f>3.34</f>
        <v>3.34</v>
      </c>
    </row>
    <row r="37" s="1" customFormat="1" ht="18.95" customHeight="1" spans="3:8">
      <c r="C37" s="13" t="s">
        <v>42</v>
      </c>
      <c r="D37" s="14">
        <f>737.84</f>
        <v>737.84</v>
      </c>
      <c r="E37" s="14">
        <f>157.8</f>
        <v>157.8</v>
      </c>
      <c r="F37" s="14">
        <f>442.33</f>
        <v>442.33</v>
      </c>
      <c r="G37" s="14">
        <f>13.41</f>
        <v>13.41</v>
      </c>
      <c r="H37" s="14">
        <f>124.3</f>
        <v>124.3</v>
      </c>
    </row>
    <row r="38" s="1" customFormat="1" ht="18.95" customHeight="1" spans="3:8">
      <c r="C38" s="13" t="s">
        <v>43</v>
      </c>
      <c r="D38" s="14">
        <f>345.46</f>
        <v>345.46</v>
      </c>
      <c r="E38" s="14">
        <f>88.99</f>
        <v>88.99</v>
      </c>
      <c r="F38" s="14">
        <f>194.22</f>
        <v>194.22</v>
      </c>
      <c r="G38" s="14">
        <f>8.14</f>
        <v>8.14</v>
      </c>
      <c r="H38" s="14">
        <f>54.12</f>
        <v>54.12</v>
      </c>
    </row>
    <row r="39" s="1" customFormat="1" ht="18.95" customHeight="1" spans="3:8">
      <c r="C39" s="13" t="s">
        <v>44</v>
      </c>
      <c r="D39" s="14">
        <f>71.84</f>
        <v>71.84</v>
      </c>
      <c r="E39" s="14">
        <f>27.07</f>
        <v>27.07</v>
      </c>
      <c r="F39" s="14">
        <f>31.53</f>
        <v>31.53</v>
      </c>
      <c r="G39" s="14">
        <f>2.16</f>
        <v>2.16</v>
      </c>
      <c r="H39" s="14">
        <f>11.09</f>
        <v>11.09</v>
      </c>
    </row>
    <row r="40" s="1" customFormat="1" ht="18.95" customHeight="1" spans="3:8">
      <c r="C40" s="13" t="s">
        <v>45</v>
      </c>
      <c r="D40" s="14">
        <f>146.89</f>
        <v>146.89</v>
      </c>
      <c r="E40" s="14">
        <f>44.32</f>
        <v>44.32</v>
      </c>
      <c r="F40" s="14">
        <f>75.02</f>
        <v>75.02</v>
      </c>
      <c r="G40" s="14">
        <f>4.17</f>
        <v>4.17</v>
      </c>
      <c r="H40" s="14">
        <f>23.38</f>
        <v>23.38</v>
      </c>
    </row>
    <row r="41" s="1" customFormat="1" ht="18.95" customHeight="1" spans="3:8">
      <c r="C41" s="13" t="s">
        <v>46</v>
      </c>
      <c r="D41" s="14">
        <f>505.07</f>
        <v>505.07</v>
      </c>
      <c r="E41" s="14">
        <f>171.29</f>
        <v>171.29</v>
      </c>
      <c r="F41" s="14">
        <f>225.95</f>
        <v>225.95</v>
      </c>
      <c r="G41" s="14">
        <f>11.18</f>
        <v>11.18</v>
      </c>
      <c r="H41" s="14">
        <f>96.64</f>
        <v>96.64</v>
      </c>
    </row>
    <row r="42" s="1" customFormat="1" ht="18.95" customHeight="1" spans="3:8">
      <c r="C42" s="13" t="s">
        <v>47</v>
      </c>
      <c r="D42" s="14">
        <f>460.1</f>
        <v>460.1</v>
      </c>
      <c r="E42" s="14">
        <f>145.91</f>
        <v>145.91</v>
      </c>
      <c r="F42" s="14">
        <f>222.8</f>
        <v>222.8</v>
      </c>
      <c r="G42" s="14">
        <f>8.64</f>
        <v>8.64</v>
      </c>
      <c r="H42" s="14">
        <f>82.76</f>
        <v>82.76</v>
      </c>
    </row>
    <row r="43" s="1" customFormat="1" ht="18.95" customHeight="1" spans="3:8">
      <c r="C43" s="13" t="s">
        <v>48</v>
      </c>
      <c r="D43" s="14">
        <f>556.7</f>
        <v>556.7</v>
      </c>
      <c r="E43" s="14">
        <f>150.29</f>
        <v>150.29</v>
      </c>
      <c r="F43" s="14">
        <f>275.14</f>
        <v>275.14</v>
      </c>
      <c r="G43" s="14">
        <f>14.43</f>
        <v>14.43</v>
      </c>
      <c r="H43" s="14">
        <f>116.84</f>
        <v>116.84</v>
      </c>
    </row>
    <row r="44" s="1" customFormat="1" ht="15" customHeight="1" spans="3:8">
      <c r="C44" s="15"/>
      <c r="D44" s="16"/>
      <c r="E44" s="16"/>
      <c r="F44" s="16"/>
      <c r="G44" s="16"/>
      <c r="H44" s="16"/>
    </row>
    <row r="45" s="1" customFormat="1" ht="37.15" customHeight="1" spans="3:8">
      <c r="C45" s="7" t="s">
        <v>49</v>
      </c>
      <c r="D45" s="7"/>
      <c r="E45" s="7"/>
      <c r="F45" s="7"/>
      <c r="G45" s="7"/>
      <c r="H45" s="7"/>
    </row>
    <row r="46" s="1" customFormat="1" ht="37.15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2022-09-07T08:54:47Z</dcterms:created>
  <dcterms:modified xsi:type="dcterms:W3CDTF">2022-09-07T08:54:53Z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