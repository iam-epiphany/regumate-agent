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95" windowHeight="9612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<sst xmlns="http://schemas.openxmlformats.org/spreadsheetml/2006/main" count="28">
  <si>
    <t xml:space="preserve"> </t>
  </si>
  <si>
    <t>2022年01月人身险公司经营情况表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</si>
  <si>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</si>
  <si>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</si>
  <si>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</si>
  <si>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</si>
  <si>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</si>
  <si>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</si>
  <si>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</si>
  <si>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</si>
  <si>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</si>
  <si>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</si>
  <si>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</si>
  <si>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</si>
  <si>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</si>
  <si>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</si>
  <si>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</si>
  <si>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</si>
  <si>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</si>
  <si>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</si>
  <si>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</si>
  <si>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</si>
  <si>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</si>
  <si>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</si>
  <si>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</si>
  <si>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>保费收入同比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</si>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</sst>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charset val="134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0">
      <alignment horizontal="left" vertical="center"/>
    </xf>
    <xf numFmtId="0" fontId="21" fillId="19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>
      <alignment horizontal="left" vertical="center"/>
    </xf>
    <xf numFmtId="0" fontId="20" fillId="0" borderId="0"/>
  </cellStyleXfs>
  <cellXfs count="18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0" applyFont="1" applyFill="1">
      <alignment horizontal="left" vertical="center"/>
    </xf>
    <xf numFmtId="0" fontId="3" fillId="0" borderId="0" xfId="50" applyFont="1" applyFill="1" applyAlignment="1">
      <alignment horizontal="center" vertical="center"/>
    </xf>
    <xf numFmtId="0" fontId="4" fillId="0" borderId="0" xfId="50" applyFont="1" applyFill="1" applyAlignment="1">
      <alignment horizontal="right" vertical="center"/>
    </xf>
    <xf numFmtId="0" fontId="4" fillId="0" borderId="1" xfId="51" applyFont="1" applyFill="1" applyBorder="1" applyAlignment="1">
      <alignment horizontal="right" wrapText="1"/>
    </xf>
    <xf numFmtId="0" fontId="3" fillId="0" borderId="2" xfId="50" applyFont="1" applyFill="1" applyBorder="1" applyAlignment="1">
      <alignment horizontal="center" vertical="center"/>
    </xf>
    <xf numFmtId="0" fontId="1" fillId="0" borderId="2" xfId="50" applyFont="1" applyFill="1" applyBorder="1">
      <alignment horizontal="left" vertical="center"/>
    </xf>
    <xf numFmtId="1" fontId="5" fillId="0" borderId="2" xfId="50" applyNumberFormat="1" applyFont="1" applyFill="1" applyBorder="1" applyAlignment="1">
      <alignment horizontal="right" vertical="center"/>
    </xf>
    <xf numFmtId="1" fontId="1" fillId="0" borderId="2" xfId="50" applyNumberFormat="1" applyFont="1" applyFill="1" applyBorder="1" applyAlignment="1">
      <alignment horizontal="right" vertical="center"/>
    </xf>
    <xf numFmtId="0" fontId="6" fillId="0" borderId="0" xfId="51" applyFont="1" applyFill="1" applyAlignment="1">
      <alignment horizontal="left" wrapText="1"/>
    </xf>
    <xf numFmtId="0" fontId="6" fillId="0" borderId="0" xfId="51" applyFont="1" applyFill="1" applyAlignment="1">
      <alignment horizontal="left" vertical="top" wrapText="1"/>
    </xf>
    <xf numFmtId="0" fontId="6" fillId="0" borderId="0" xfId="51" applyFont="1" applyFill="1" applyAlignment="1">
      <alignment horizontal="left"/>
    </xf>
    <xf numFmtId="0" fontId="6" fillId="0" borderId="0" xfId="51" applyFont="1" applyFill="1" applyAlignment="1"/>
    <xf numFmtId="0" fontId="1" fillId="0" borderId="0" xfId="31" applyFont="1" applyFill="1" applyAlignment="1">
      <alignment horizontal="left" vertical="center" wrapText="1"/>
    </xf>
    <xf numFmtId="10" fontId="2" fillId="0" borderId="0" xfId="31" applyNumberFormat="1" applyFont="1" applyFill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66897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85" zoomScaleNormal="100" zoomScaleSheetLayoutView="85" workbookViewId="0">
      <selection activeCell="E11" sqref="E11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f>8018.77</f>
        <v>8018.77</v>
      </c>
    </row>
    <row r="6" customHeight="1" spans="2:3">
      <c r="B6" s="9" t="s">
        <v>7</v>
      </c>
      <c r="C6" s="11">
        <f>7049.64</f>
        <v>7049.64</v>
      </c>
    </row>
    <row r="7" customHeight="1" spans="2:3">
      <c r="B7" s="9" t="s">
        <v>8</v>
      </c>
      <c r="C7" s="11">
        <f>56.18</f>
        <v>56.18</v>
      </c>
    </row>
    <row r="8" customHeight="1" spans="2:3">
      <c r="B8" s="9" t="s">
        <v>9</v>
      </c>
      <c r="C8" s="11">
        <f>912.95</f>
        <v>912.95</v>
      </c>
    </row>
    <row r="9" customHeight="1" spans="2:3">
      <c r="B9" s="9" t="s">
        <v>10</v>
      </c>
      <c r="C9" s="11">
        <f>1415.42</f>
        <v>1415.42</v>
      </c>
    </row>
    <row r="10" customHeight="1" spans="2:3">
      <c r="B10" s="9" t="s">
        <v>11</v>
      </c>
      <c r="C10" s="11">
        <f>45.96</f>
        <v>45.96</v>
      </c>
    </row>
    <row r="11" customHeight="1" spans="2:3">
      <c r="B11" s="9" t="s">
        <v>12</v>
      </c>
      <c r="C11" s="11">
        <f>1066.66</f>
        <v>1066.66</v>
      </c>
    </row>
    <row r="12" customHeight="1" spans="2:3">
      <c r="B12" s="9" t="s">
        <v>13</v>
      </c>
      <c r="C12" s="11">
        <f>1430084.63</f>
        <v>1430084.63</v>
      </c>
    </row>
    <row r="13" customHeight="1" spans="2:3">
      <c r="B13" s="9" t="s">
        <v>7</v>
      </c>
      <c r="C13" s="11">
        <f>34541.41</f>
        <v>34541.41</v>
      </c>
    </row>
    <row r="14" customHeight="1" spans="2:3">
      <c r="B14" s="9" t="s">
        <v>8</v>
      </c>
      <c r="C14" s="11">
        <f>344485.37</f>
        <v>344485.37</v>
      </c>
    </row>
    <row r="15" customHeight="1" spans="2:3">
      <c r="B15" s="9" t="s">
        <v>9</v>
      </c>
      <c r="C15" s="11">
        <f>1051057.85</f>
        <v>1051057.85</v>
      </c>
    </row>
    <row r="16" customHeight="1" spans="2:3">
      <c r="B16" s="9" t="s">
        <v>14</v>
      </c>
      <c r="C16" s="11">
        <f>7518.62</f>
        <v>7518.62</v>
      </c>
    </row>
    <row r="17" customHeight="1" spans="2:3">
      <c r="B17" s="9" t="s">
        <v>7</v>
      </c>
      <c r="C17" s="11">
        <f>747.79</f>
        <v>747.79</v>
      </c>
    </row>
    <row r="18" customHeight="1" spans="2:3">
      <c r="B18" s="9" t="s">
        <v>15</v>
      </c>
      <c r="C18" s="11">
        <f>528.81</f>
        <v>528.81</v>
      </c>
    </row>
    <row r="19" customHeight="1" spans="2:3">
      <c r="B19" s="9" t="s">
        <v>8</v>
      </c>
      <c r="C19" s="11">
        <f>2453.82</f>
        <v>2453.82</v>
      </c>
    </row>
    <row r="20" customHeight="1" spans="2:3">
      <c r="B20" s="9" t="s">
        <v>9</v>
      </c>
      <c r="C20" s="11">
        <f>4317.01</f>
        <v>4317.01</v>
      </c>
    </row>
    <row r="21" customHeight="1" spans="2:3">
      <c r="B21" s="9" t="s">
        <v>16</v>
      </c>
      <c r="C21" s="10">
        <f>217954.64</f>
        <v>217954.64</v>
      </c>
    </row>
    <row r="22" ht="57.6" customHeight="1" spans="2:3">
      <c r="B22" s="12" t="s">
        <v>17</v>
      </c>
      <c r="C22" s="12"/>
    </row>
    <row r="23" ht="57.6" customHeight="1" spans="2:3">
      <c r="B23" s="12" t="s">
        <v>18</v>
      </c>
      <c r="C23" s="12"/>
    </row>
    <row r="24" ht="57.6" customHeight="1" spans="2:3">
      <c r="B24" s="12" t="s">
        <v>19</v>
      </c>
      <c r="C24" s="12"/>
    </row>
    <row r="25" ht="57.6" customHeight="1" spans="2:3">
      <c r="B25" s="12" t="s">
        <v>20</v>
      </c>
      <c r="C25" s="12"/>
    </row>
    <row r="26" ht="90.6" customHeight="1" spans="2:3">
      <c r="B26" s="13" t="s">
        <v>21</v>
      </c>
      <c r="C26" s="13"/>
    </row>
    <row r="27" ht="85.15" customHeight="1" spans="2:3">
      <c r="B27" s="13" t="s">
        <v>22</v>
      </c>
      <c r="C27" s="13"/>
    </row>
    <row r="28" ht="20.4" spans="2:3">
      <c r="B28" s="14" t="s">
        <v>23</v>
      </c>
      <c r="C28" s="15"/>
    </row>
    <row r="29" ht="45" customHeight="1" spans="2:3">
      <c r="B29" s="12" t="s">
        <v>24</v>
      </c>
      <c r="C29" s="12"/>
    </row>
    <row r="30" ht="59" customHeight="1" spans="2:8">
      <c r="B30" s="16" t="str">
        <f>"    9、按可比口径，行业汇总原保险保费收入同比增长"&amp;F30&amp;"，保险金额增长"&amp;F31&amp;"，赔付支出增长"&amp;F32&amp;""</f>
        <v>    9、按可比口径，行业汇总原保险保费收入同比增长0.04%，保险金额增长6.71%，赔付支出增长34.79%</v>
      </c>
      <c r="C30" s="16"/>
      <c r="E30" s="2" t="s">
        <v>25</v>
      </c>
      <c r="F30" s="17" t="str">
        <f t="shared" ref="F30:F32" si="0">TEXT(G30/H30-1,"0.00%")</f>
        <v>0.04%</v>
      </c>
      <c r="G30" s="3">
        <f>8018.77</f>
        <v>8018.77</v>
      </c>
      <c r="H30" s="3">
        <f>8015.38</f>
        <v>8015.38</v>
      </c>
    </row>
    <row r="31" ht="96" customHeight="1" spans="5:8">
      <c r="E31" s="2" t="s">
        <v>26</v>
      </c>
      <c r="F31" s="17" t="str">
        <f t="shared" si="0"/>
        <v>6.71%</v>
      </c>
      <c r="G31" s="3">
        <f>1430084.63</f>
        <v>1430084.63</v>
      </c>
      <c r="H31" s="3">
        <f>1340100.32</f>
        <v>1340100.32</v>
      </c>
    </row>
    <row r="32" customHeight="1" spans="5:8">
      <c r="E32" s="2" t="s">
        <v>27</v>
      </c>
      <c r="F32" s="17" t="str">
        <f t="shared" si="0"/>
        <v>34.79%</v>
      </c>
      <c r="G32" s="3">
        <f>1066.66</f>
        <v>1066.66</v>
      </c>
      <c r="H32" s="3">
        <f>791.33</f>
        <v>791.33</v>
      </c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2022-03-01T07:20:50Z</dcterms:created>
  <dcterms:modified xsi:type="dcterms:W3CDTF">2022-03-01T07:20:56Z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