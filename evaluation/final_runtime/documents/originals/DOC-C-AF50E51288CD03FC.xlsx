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4" windowHeight="9972"/>
  </bookViews>
  <sheets>
    <sheet name="保险业经营数据（月度）" sheetId="1" r:id="rId1"/>
  </sheets>
  <definedNames>
    <definedName name="_xlnm.Print_Area" localSheetId="0">'保险业经营数据（月度）'!$A$1:$C$36</definedName>
  </definedNames>
  <calcPr calcId="144525"/>
</workbook>
</file>

<file path=xl/sharedStrings.xml><?xml version="1.0" encoding="utf-8"?>
<sst xmlns="http://schemas.openxmlformats.org/spreadsheetml/2006/main" count="37">
  <si>
    <t>2021年11月保险业经营情况表</t>
  </si>
  <si>
    <t xml:space="preserve">                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</si>
  <si>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</si>
  <si>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</si>
  <si>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</si>
  <si>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</si>
  <si>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</si>
  <si>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</si>
  <si>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 xml:space="preserve">    （1）寿险</t>
  </si>
  <si>
    <t xml:space="preserve">    （2）健康险</t>
  </si>
  <si>
    <t xml:space="preserve">    （3）人身意外伤害险</t>
  </si>
  <si>
    <t>保险金额</t>
  </si>
  <si>
    <t>保单件数</t>
  </si>
  <si>
    <t>原保险赔付支出</t>
  </si>
  <si>
    <t xml:space="preserve">   1、财产险</t>
  </si>
  <si>
    <t xml:space="preserve">   2、人身险</t>
  </si>
  <si>
    <t>业务及管理费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</si>
  <si>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</si>
  <si>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</si>
  <si>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</si>
  <si>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</si>
  <si>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</si>
  <si>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</si>
  <si>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</si>
  <si>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</si>
  <si>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</si>
  <si>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</si>
  <si>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</si>
  <si>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</si>
  <si>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</si>
  <si>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</si>
  <si>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7、银行存款包括活期存款、定期存款、存出保证金和存出资本保证金。</t>
  </si>
  <si>
    <t xml:space="preserve">    8、上述数据来源于各公司报送的保险数据，未经审计。</t>
  </si>
  <si>
    <t>保费收入同比</t>
  </si>
  <si>
    <t xml:space="preserve">    9、因部分机构目前处于风险处置阶段，从2021年6月起，行业汇总数据口径暂不包含这部分机构。</t>
  </si>
  <si>
    <t>保险金额同比</t>
  </si>
  <si>
    <t>赔付支出同比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</si>
</sst>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_ "/>
  </numFmts>
  <fonts count="29">
    <font>
      <sz val="11"/>
      <color theme="1"/>
      <name val="宋体"/>
      <charset val="134"/>
      <scheme val="minor"/>
    </font>
    <font>
      <sz val="16"/>
      <name val="仿宋_GB2312"/>
      <charset val="134"/>
    </font>
    <font>
      <sz val="16"/>
      <color theme="0" tint="-0.25"/>
      <name val="仿宋_GB2312"/>
      <charset val="134"/>
    </font>
    <font>
      <b/>
      <sz val="18"/>
      <color indexed="8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sz val="16"/>
      <color theme="1"/>
      <name val="仿宋_GB2312"/>
      <charset val="134"/>
    </font>
    <font>
      <b/>
      <sz val="16"/>
      <name val="仿宋_GB2312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"/>
      <color indexed="0"/>
      <name val="Arial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6" fillId="10" borderId="10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9" fillId="17" borderId="5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8" fillId="0" borderId="0"/>
    <xf numFmtId="0" fontId="27" fillId="0" borderId="0">
      <alignment horizontal="left" vertical="center"/>
    </xf>
  </cellStyleXfs>
  <cellXfs count="23">
    <xf numFmtId="0" fontId="0" fillId="0" borderId="0" xfId="0">
      <alignment vertical="center"/>
    </xf>
    <xf numFmtId="0" fontId="1" fillId="0" borderId="0" xfId="49" applyFont="1" applyFill="1" applyAlignment="1">
      <alignment horizontal="left"/>
    </xf>
    <xf numFmtId="0" fontId="1" fillId="0" borderId="0" xfId="49" applyFont="1" applyFill="1"/>
    <xf numFmtId="0" fontId="1" fillId="0" borderId="0" xfId="49" applyFont="1" applyFill="1" applyAlignment="1"/>
    <xf numFmtId="0" fontId="2" fillId="2" borderId="0" xfId="49" applyFont="1" applyFill="1"/>
    <xf numFmtId="0" fontId="3" fillId="0" borderId="0" xfId="49" applyFont="1" applyFill="1" applyAlignment="1">
      <alignment horizontal="center" vertical="center" wrapText="1"/>
    </xf>
    <xf numFmtId="0" fontId="3" fillId="0" borderId="0" xfId="49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right" vertical="center" wrapText="1"/>
    </xf>
    <xf numFmtId="0" fontId="5" fillId="0" borderId="2" xfId="49" applyFont="1" applyFill="1" applyBorder="1" applyAlignment="1">
      <alignment horizontal="center" vertical="center" wrapText="1"/>
    </xf>
    <xf numFmtId="0" fontId="4" fillId="0" borderId="2" xfId="49" applyFont="1" applyFill="1" applyBorder="1" applyAlignment="1">
      <alignment vertical="center" wrapText="1"/>
    </xf>
    <xf numFmtId="177" fontId="1" fillId="0" borderId="2" xfId="49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1" fillId="0" borderId="0" xfId="49" applyFont="1" applyFill="1" applyAlignment="1">
      <alignment horizontal="left" vertical="center" wrapText="1"/>
    </xf>
    <xf numFmtId="0" fontId="2" fillId="2" borderId="0" xfId="49" applyFont="1" applyFill="1" applyAlignment="1">
      <alignment horizontal="left"/>
    </xf>
    <xf numFmtId="0" fontId="1" fillId="0" borderId="0" xfId="49" applyFont="1" applyFill="1" applyAlignment="1">
      <alignment horizontal="left" vertical="center"/>
    </xf>
    <xf numFmtId="0" fontId="1" fillId="0" borderId="0" xfId="49" applyFont="1" applyFill="1" applyAlignment="1">
      <alignment vertical="center"/>
    </xf>
    <xf numFmtId="10" fontId="2" fillId="2" borderId="0" xfId="49" applyNumberFormat="1" applyFont="1" applyFill="1" applyAlignment="1">
      <alignment horizontal="left"/>
    </xf>
    <xf numFmtId="0" fontId="4" fillId="0" borderId="0" xfId="49" applyFont="1" applyFill="1" applyAlignment="1">
      <alignment horizontal="left" vertical="center" wrapText="1"/>
    </xf>
    <xf numFmtId="10" fontId="2" fillId="2" borderId="0" xfId="49" applyNumberFormat="1" applyFont="1" applyFill="1"/>
    <xf numFmtId="0" fontId="2" fillId="2" borderId="0" xfId="49" applyFont="1" applyFill="1" applyAlignment="1">
      <alignment wrapText="1"/>
    </xf>
    <xf numFmtId="0" fontId="4" fillId="0" borderId="0" xfId="49" applyFont="1" applyFill="1" applyBorder="1" applyAlignment="1">
      <alignment vertical="center" wrapText="1"/>
    </xf>
    <xf numFmtId="176" fontId="4" fillId="0" borderId="0" xfId="50" applyNumberFormat="1" applyFont="1" applyFill="1" applyBorder="1" applyAlignment="1">
      <alignment vertical="center" wrapText="1"/>
    </xf>
    <xf numFmtId="0" fontId="7" fillId="0" borderId="0" xfId="49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101保监会－以集团合..司经营状况简表一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J39"/>
  <sheetViews>
    <sheetView tabSelected="1" view="pageBreakPreview" zoomScale="70" zoomScaleNormal="100" zoomScaleSheetLayoutView="70" workbookViewId="0">
      <selection activeCell="F32" sqref="F32"/>
    </sheetView>
  </sheetViews>
  <sheetFormatPr defaultColWidth="9" defaultRowHeight="20.4"/>
  <cols>
    <col min="1" max="1" width="2.87962962962963" style="2" customWidth="1"/>
    <col min="2" max="3" width="64.4444444444444" style="3" customWidth="1"/>
    <col min="4" max="5" width="9" style="2"/>
    <col min="6" max="6" width="19" style="4" customWidth="1"/>
    <col min="7" max="7" width="11.3796296296296" style="4" customWidth="1"/>
    <col min="8" max="8" width="51.1296296296296" style="4" customWidth="1"/>
    <col min="9" max="10" width="50.3796296296296" style="4" customWidth="1"/>
    <col min="11" max="12" width="50.3796296296296" style="2" customWidth="1"/>
    <col min="13" max="16384" width="9" style="2"/>
  </cols>
  <sheetData>
    <row r="1" ht="39" customHeight="1" spans="2:3">
      <c r="B1" s="5" t="s">
        <v>0</v>
      </c>
      <c r="C1" s="6"/>
    </row>
    <row r="2" ht="26.45" customHeight="1" spans="2:3">
      <c r="B2" s="7" t="s">
        <v>1</v>
      </c>
      <c r="C2" s="7" t="s">
        <v>2</v>
      </c>
    </row>
    <row r="3" ht="26.45" customHeight="1" spans="2:3">
      <c r="B3" s="8" t="s">
        <v>3</v>
      </c>
      <c r="C3" s="8" t="s">
        <v>4</v>
      </c>
    </row>
    <row r="4" ht="20.25" customHeight="1" spans="2:3">
      <c r="B4" s="9" t="s">
        <v>5</v>
      </c>
      <c r="C4" s="10">
        <f>41644.06</f>
        <v>41644.06</v>
      </c>
    </row>
    <row r="5" ht="20.25" customHeight="1" spans="2:3">
      <c r="B5" s="9" t="s">
        <v>6</v>
      </c>
      <c r="C5" s="10">
        <f>10575.47</f>
        <v>10575.47</v>
      </c>
    </row>
    <row r="6" ht="20.25" customHeight="1" spans="2:3">
      <c r="B6" s="9" t="s">
        <v>7</v>
      </c>
      <c r="C6" s="10">
        <f>31068.59</f>
        <v>31068.59</v>
      </c>
    </row>
    <row r="7" ht="20.25" customHeight="1" spans="2:3">
      <c r="B7" s="9" t="s">
        <v>8</v>
      </c>
      <c r="C7" s="10">
        <f>22050.48</f>
        <v>22050.48</v>
      </c>
    </row>
    <row r="8" ht="20.25" customHeight="1" spans="2:3">
      <c r="B8" s="9" t="s">
        <v>9</v>
      </c>
      <c r="C8" s="10">
        <f>7895.52</f>
        <v>7895.52</v>
      </c>
    </row>
    <row r="9" ht="20.25" customHeight="1" spans="2:3">
      <c r="B9" s="9" t="s">
        <v>10</v>
      </c>
      <c r="C9" s="10">
        <f>1122.58</f>
        <v>1122.58</v>
      </c>
    </row>
    <row r="10" ht="20.25" customHeight="1" spans="2:3">
      <c r="B10" s="9" t="s">
        <v>11</v>
      </c>
      <c r="C10" s="10">
        <f>94418947.98+11880024.56</f>
        <v>106298972.54</v>
      </c>
    </row>
    <row r="11" ht="19.5" customHeight="1" spans="2:3">
      <c r="B11" s="9" t="s">
        <v>12</v>
      </c>
      <c r="C11" s="10">
        <f>4326833.62+87659.42</f>
        <v>4414493.04</v>
      </c>
    </row>
    <row r="12" ht="20.25" customHeight="1" spans="2:3">
      <c r="B12" s="9" t="s">
        <v>13</v>
      </c>
      <c r="C12" s="10">
        <f>7296.35+6760.98</f>
        <v>14057.33</v>
      </c>
    </row>
    <row r="13" ht="20.25" customHeight="1" spans="2:3">
      <c r="B13" s="9" t="s">
        <v>14</v>
      </c>
      <c r="C13" s="10">
        <f>6760.98</f>
        <v>6760.98</v>
      </c>
    </row>
    <row r="14" ht="20.25" customHeight="1" spans="2:3">
      <c r="B14" s="9" t="s">
        <v>15</v>
      </c>
      <c r="C14" s="10">
        <f>7296.35</f>
        <v>7296.35</v>
      </c>
    </row>
    <row r="15" ht="20.25" customHeight="1" spans="2:3">
      <c r="B15" s="9" t="s">
        <v>8</v>
      </c>
      <c r="C15" s="10">
        <f>3320.86</f>
        <v>3320.86</v>
      </c>
    </row>
    <row r="16" ht="20.25" customHeight="1" spans="2:3">
      <c r="B16" s="9" t="s">
        <v>9</v>
      </c>
      <c r="C16" s="10">
        <f>3659.6</f>
        <v>3659.6</v>
      </c>
    </row>
    <row r="17" ht="20.25" customHeight="1" spans="2:3">
      <c r="B17" s="9" t="s">
        <v>10</v>
      </c>
      <c r="C17" s="10">
        <f>315.9</f>
        <v>315.9</v>
      </c>
    </row>
    <row r="18" ht="20.25" customHeight="1" spans="2:3">
      <c r="B18" s="9" t="s">
        <v>16</v>
      </c>
      <c r="C18" s="10">
        <f>4514.47</f>
        <v>4514.47</v>
      </c>
    </row>
    <row r="19" ht="20.25" customHeight="1" spans="2:3">
      <c r="B19" s="9" t="s">
        <v>17</v>
      </c>
      <c r="C19" s="10">
        <f>227619.9461</f>
        <v>227619.9461</v>
      </c>
    </row>
    <row r="20" ht="20.25" customHeight="1" spans="2:3">
      <c r="B20" s="9" t="s">
        <v>18</v>
      </c>
      <c r="C20" s="10">
        <f>25406.59</f>
        <v>25406.59</v>
      </c>
    </row>
    <row r="21" ht="20.25" customHeight="1" spans="2:3">
      <c r="B21" s="11" t="s">
        <v>19</v>
      </c>
      <c r="C21" s="10">
        <f>89668.59</f>
        <v>89668.59</v>
      </c>
    </row>
    <row r="22" ht="20.25" customHeight="1" spans="2:3">
      <c r="B22" s="9" t="s">
        <v>20</v>
      </c>
      <c r="C22" s="10">
        <f>28004.35</f>
        <v>28004.35</v>
      </c>
    </row>
    <row r="23" ht="20.25" customHeight="1" spans="2:3">
      <c r="B23" s="9" t="s">
        <v>21</v>
      </c>
      <c r="C23" s="10">
        <f>246188.5</f>
        <v>246188.5</v>
      </c>
    </row>
    <row r="24" ht="20.25" customHeight="1" spans="2:3">
      <c r="B24" s="9" t="s">
        <v>22</v>
      </c>
      <c r="C24" s="10">
        <f>6386.86</f>
        <v>6386.86</v>
      </c>
    </row>
    <row r="25" ht="20.25" customHeight="1" spans="2:3">
      <c r="B25" s="9" t="s">
        <v>23</v>
      </c>
      <c r="C25" s="10">
        <f>978.17</f>
        <v>978.17</v>
      </c>
    </row>
    <row r="26" ht="20.25" customHeight="1" spans="2:3">
      <c r="B26" s="9" t="s">
        <v>24</v>
      </c>
      <c r="C26" s="10">
        <f>28829.92</f>
        <v>28829.92</v>
      </c>
    </row>
    <row r="27" ht="60" customHeight="1" spans="2:3">
      <c r="B27" s="12" t="s">
        <v>25</v>
      </c>
      <c r="C27" s="12"/>
    </row>
    <row r="28" s="1" customFormat="1" ht="47.25" customHeight="1" spans="2:10">
      <c r="B28" s="12" t="s">
        <v>26</v>
      </c>
      <c r="C28" s="12"/>
      <c r="F28" s="13"/>
      <c r="G28" s="13"/>
      <c r="H28" s="13"/>
      <c r="I28" s="13"/>
      <c r="J28" s="13"/>
    </row>
    <row r="29" s="1" customFormat="1" ht="56.1" customHeight="1" spans="2:10">
      <c r="B29" s="12" t="s">
        <v>27</v>
      </c>
      <c r="C29" s="12"/>
      <c r="F29" s="13"/>
      <c r="G29" s="13"/>
      <c r="H29" s="13"/>
      <c r="I29" s="13"/>
      <c r="J29" s="13"/>
    </row>
    <row r="30" s="1" customFormat="1" ht="48" customHeight="1" spans="2:10">
      <c r="B30" s="12" t="s">
        <v>28</v>
      </c>
      <c r="C30" s="12"/>
      <c r="F30" s="13"/>
      <c r="G30" s="13"/>
      <c r="H30" s="13"/>
      <c r="I30" s="13"/>
      <c r="J30" s="13"/>
    </row>
    <row r="31" s="1" customFormat="1" ht="63" customHeight="1" spans="2:10">
      <c r="B31" s="12" t="s">
        <v>29</v>
      </c>
      <c r="C31" s="12"/>
      <c r="F31" s="13"/>
      <c r="G31" s="13"/>
      <c r="H31" s="13"/>
      <c r="I31" s="13"/>
      <c r="J31" s="13"/>
    </row>
    <row r="32" s="1" customFormat="1" ht="63" customHeight="1" spans="2:10">
      <c r="B32" s="12" t="s">
        <v>30</v>
      </c>
      <c r="C32" s="12"/>
      <c r="F32" s="13"/>
      <c r="G32" s="13"/>
      <c r="H32" s="13"/>
      <c r="I32" s="13"/>
      <c r="J32" s="13"/>
    </row>
    <row r="33" s="1" customFormat="1" spans="2:10">
      <c r="B33" s="14" t="s">
        <v>31</v>
      </c>
      <c r="C33" s="15"/>
      <c r="F33" s="13"/>
      <c r="G33" s="13"/>
      <c r="H33" s="13"/>
      <c r="I33" s="13"/>
      <c r="J33" s="13"/>
    </row>
    <row r="34" s="1" customFormat="1" spans="2:10">
      <c r="B34" s="14" t="s">
        <v>32</v>
      </c>
      <c r="C34" s="15"/>
      <c r="F34" s="13" t="s">
        <v>33</v>
      </c>
      <c r="G34" s="16" t="str">
        <f t="shared" ref="G34:G36" si="0">TEXT(H34/I34-1,"0.00%")</f>
        <v>3.41%</v>
      </c>
      <c r="H34" s="13">
        <f>41644.06</f>
        <v>41644.06</v>
      </c>
      <c r="I34" s="13">
        <f>40271.42</f>
        <v>40271.42</v>
      </c>
      <c r="J34" s="13"/>
    </row>
    <row r="35" ht="47.1" customHeight="1" spans="2:9">
      <c r="B35" s="17" t="s">
        <v>34</v>
      </c>
      <c r="C35" s="17"/>
      <c r="F35" s="4" t="s">
        <v>35</v>
      </c>
      <c r="G35" s="18" t="str">
        <f t="shared" si="0"/>
        <v>34.62%</v>
      </c>
      <c r="H35" s="4">
        <f>94418947.98+11880024.56</f>
        <v>106298972.54</v>
      </c>
      <c r="I35" s="4">
        <f>68095353.18+10864724.69</f>
        <v>78960077.87</v>
      </c>
    </row>
    <row r="36" ht="48" customHeight="1" spans="2:9">
      <c r="B36" s="17" t="str">
        <f>"    10、按可比口径，行业汇总原保险保费收入同比增长"&amp;G34&amp;"，保险金额增长"&amp;G35&amp;"，原保险赔付支出增长"&amp;G36&amp;"。"</f>
        <v>    10、按可比口径，行业汇总原保险保费收入同比增长3.41%，保险金额增长34.62%，原保险赔付支出增长15.37%。</v>
      </c>
      <c r="C36" s="17"/>
      <c r="F36" s="4" t="s">
        <v>36</v>
      </c>
      <c r="G36" s="18" t="str">
        <f t="shared" si="0"/>
        <v>15.37%</v>
      </c>
      <c r="H36" s="19">
        <f>7296.35+6760.98</f>
        <v>14057.33</v>
      </c>
      <c r="I36" s="19">
        <f>6150.15+6034.49</f>
        <v>12184.64</v>
      </c>
    </row>
    <row r="37" spans="2:3">
      <c r="B37" s="20"/>
      <c r="C37" s="21"/>
    </row>
    <row r="38" spans="2:3">
      <c r="B38" s="20"/>
      <c r="C38" s="21"/>
    </row>
    <row r="39" spans="3:3">
      <c r="C39" s="22"/>
    </row>
  </sheetData>
  <mergeCells count="9">
    <mergeCell ref="B1:C1"/>
    <mergeCell ref="B27:C27"/>
    <mergeCell ref="B28:C28"/>
    <mergeCell ref="B29:C29"/>
    <mergeCell ref="B30:C30"/>
    <mergeCell ref="B31:C31"/>
    <mergeCell ref="B32:C32"/>
    <mergeCell ref="B35:C35"/>
    <mergeCell ref="B36:C36"/>
  </mergeCells>
  <printOptions horizontalCentered="1"/>
  <pageMargins left="0" right="0" top="0.786805555555556" bottom="0" header="0.511805555555556" footer="0.511805555555556"/>
  <pageSetup paperSize="9" scale="7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2021-12-27T07:43:39Z</dcterms:created>
  <dcterms:modified xsi:type="dcterms:W3CDTF">2021-12-27T07:44:29Z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