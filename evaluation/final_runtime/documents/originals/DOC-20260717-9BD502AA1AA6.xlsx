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924"/>
  </bookViews>
  <sheets>
    <sheet name="各地区数据（月度）" sheetId="1" r:id="rId1"/>
  </sheets>
  <definedNames>
    <definedName name="_xlnm.Print_Area" localSheetId="0">'各地区数据（月度）'!$A$1:$H$49</definedName>
  </definedNames>
  <calcPr calcId="144525"/>
</workbook>
</file>

<file path=xl/sharedStrings.xml><?xml version="1.0" encoding="utf-8"?>
<sst xmlns="http://schemas.openxmlformats.org/spreadsheetml/2006/main" count="54">
  <si>
    <t xml:space="preserve"> </t>
  </si>
  <si>
    <t>2021年12月全国各地区原保险保费收入情况表</t>
  </si>
  <si>
    <t/>
  </si>
  <si>
    <t xml:space="preserve">                  </t>
  </si>
  <si>
    <t>单位：亿元</t>
  </si>
  <si>
    <t>地区</t>
  </si>
  <si>
    <t>合计</t>
  </si>
  <si>
    <t>财产保险</t>
  </si>
  <si>
    <t>寿险</t>
  </si>
  <si>
    <t>意外险</t>
  </si>
  <si>
    <t>健康险</t>
  </si>
  <si>
    <t>全国合计</t>
  </si>
  <si>
    <t>集团、总公司本级</t>
  </si>
  <si>
    <t>北   京</t>
  </si>
  <si>
    <t>天   津</t>
  </si>
  <si>
    <t>河   北</t>
  </si>
  <si>
    <t>辽   宁</t>
  </si>
  <si>
    <t>大   连</t>
  </si>
  <si>
    <t>上   海</t>
  </si>
  <si>
    <t>江   苏</t>
  </si>
  <si>
    <t>浙   江</t>
  </si>
  <si>
    <t>宁   波</t>
  </si>
  <si>
    <t>福   建</t>
  </si>
  <si>
    <t>厦   门</t>
  </si>
  <si>
    <t>山   东</t>
  </si>
  <si>
    <t>青   岛</t>
  </si>
  <si>
    <t>广   东</t>
  </si>
  <si>
    <t>深   圳</t>
  </si>
  <si>
    <t>海   南</t>
  </si>
  <si>
    <t>山   西</t>
  </si>
  <si>
    <t>吉   林</t>
  </si>
  <si>
    <t>黑龙江</t>
  </si>
  <si>
    <t>安   徽</t>
  </si>
  <si>
    <t>江   西</t>
  </si>
  <si>
    <t>河   南</t>
  </si>
  <si>
    <t>湖   北</t>
  </si>
  <si>
    <t>湖   南</t>
  </si>
  <si>
    <t>重   庆</t>
  </si>
  <si>
    <t>四   川</t>
  </si>
  <si>
    <t>贵   州</t>
  </si>
  <si>
    <t>云   南</t>
  </si>
  <si>
    <t>西   藏</t>
  </si>
  <si>
    <t>陕   西</t>
  </si>
  <si>
    <t>甘   肃</t>
  </si>
  <si>
    <t>青   海</t>
  </si>
  <si>
    <t>宁   夏</t>
  </si>
  <si>
    <t>新   疆</t>
  </si>
  <si>
    <t>内蒙古</t>
  </si>
  <si>
    <t>广   西</t>
  </si>
  <si>
    <t>注：1、本表数据是保险业执行《关于印发&lt;保险合同相关会计处理规定〉的通知》（财会[2009]15号）后，各保险公司按照相关口径要求报送的数据。</t>
  </si>
  <si>
    <t xml:space="preserve">    2、集团、总公司本级是指集团、总公司开展的业务，不计入任何地区。</t>
  </si>
  <si>
    <t xml:space="preserve">    3、上述数据来源于各公司报送的保险数据，未经审计。</t>
  </si>
  <si>
    <t xml:space="preserve">    4、由于计算的四舍五入及单位换算原因，各地区之和与合计略有差异。</t>
  </si>
  <si>
    <t xml:space="preserve">    5、因部分机构目前处于风险处置阶段，从2021年6月起，各地区汇总数据口径暂不包含这部分机构。</t>
  </si>
</sst>
</file>

<file path=xl/styles.xml><?xml version="1.0" encoding="utf-8"?>
<styleSheet xmlns="http://schemas.openxmlformats.org/spreadsheetml/2006/main">
  <numFmts count="6">
    <numFmt numFmtId="176" formatCode="0_ "/>
    <numFmt numFmtId="177" formatCode="0.00_);[Red]\(0.00\)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6"/>
      <name val="仿宋_GB2312"/>
      <charset val="134"/>
    </font>
    <font>
      <b/>
      <sz val="16"/>
      <name val="仿宋_GB2312"/>
      <charset val="134"/>
    </font>
    <font>
      <sz val="16"/>
      <color indexed="8"/>
      <name val="仿宋_GB2312"/>
      <charset val="134"/>
    </font>
    <font>
      <sz val="16"/>
      <color theme="1"/>
      <name val="仿宋_GB2312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9"/>
      <color indexed="0"/>
      <name val="Arial"/>
      <charset val="134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3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5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1" fillId="0" borderId="0">
      <alignment horizontal="left"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4" fillId="13" borderId="10" applyNumberFormat="0" applyAlignment="0" applyProtection="0">
      <alignment vertical="center"/>
    </xf>
    <xf numFmtId="0" fontId="11" fillId="13" borderId="4" applyNumberFormat="0" applyAlignment="0" applyProtection="0">
      <alignment vertical="center"/>
    </xf>
    <xf numFmtId="0" fontId="17" fillId="15" borderId="7" applyNumberFormat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21" fillId="0" borderId="0">
      <alignment horizontal="left" vertical="center"/>
    </xf>
    <xf numFmtId="0" fontId="10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1" fillId="0" borderId="0">
      <alignment horizontal="left" vertical="center"/>
    </xf>
    <xf numFmtId="0" fontId="21" fillId="0" borderId="0">
      <alignment horizontal="left" vertical="center"/>
    </xf>
  </cellStyleXfs>
  <cellXfs count="18">
    <xf numFmtId="0" fontId="0" fillId="0" borderId="0" xfId="0">
      <alignment vertical="center"/>
    </xf>
    <xf numFmtId="177" fontId="1" fillId="0" borderId="0" xfId="33" applyNumberFormat="1" applyFont="1" applyFill="1" applyAlignment="1">
      <alignment horizontal="center" vertical="center"/>
    </xf>
    <xf numFmtId="177" fontId="1" fillId="0" borderId="0" xfId="33" applyNumberFormat="1" applyFont="1" applyFill="1" applyAlignment="1">
      <alignment horizontal="left" vertical="center"/>
    </xf>
    <xf numFmtId="177" fontId="1" fillId="0" borderId="0" xfId="33" applyNumberFormat="1" applyFont="1" applyFill="1">
      <alignment horizontal="left" vertical="center"/>
    </xf>
    <xf numFmtId="177" fontId="1" fillId="0" borderId="0" xfId="33" applyNumberFormat="1" applyFont="1" applyFill="1" applyAlignment="1">
      <alignment horizontal="right" vertical="center"/>
    </xf>
    <xf numFmtId="177" fontId="2" fillId="0" borderId="0" xfId="0" applyNumberFormat="1" applyFont="1" applyFill="1" applyAlignment="1">
      <alignment horizontal="center" wrapText="1"/>
    </xf>
    <xf numFmtId="177" fontId="2" fillId="0" borderId="0" xfId="0" applyNumberFormat="1" applyFont="1" applyFill="1" applyBorder="1" applyAlignment="1">
      <alignment horizontal="center" wrapText="1"/>
    </xf>
    <xf numFmtId="177" fontId="1" fillId="0" borderId="0" xfId="33" applyNumberFormat="1" applyFont="1" applyFill="1" applyAlignment="1">
      <alignment vertical="center"/>
    </xf>
    <xf numFmtId="177" fontId="1" fillId="0" borderId="0" xfId="33" applyNumberFormat="1" applyFont="1" applyFill="1" applyAlignment="1">
      <alignment vertical="center" wrapText="1"/>
    </xf>
    <xf numFmtId="177" fontId="1" fillId="0" borderId="0" xfId="33" applyNumberFormat="1" applyFont="1" applyFill="1" applyAlignment="1">
      <alignment horizontal="center" vertical="center" wrapText="1"/>
    </xf>
    <xf numFmtId="0" fontId="1" fillId="0" borderId="0" xfId="33" applyNumberFormat="1" applyFont="1" applyFill="1" applyAlignment="1">
      <alignment horizontal="right" vertical="center" wrapText="1"/>
    </xf>
    <xf numFmtId="0" fontId="3" fillId="0" borderId="0" xfId="52" applyNumberFormat="1" applyFont="1" applyFill="1" applyAlignment="1">
      <alignment horizontal="right" vertical="center"/>
    </xf>
    <xf numFmtId="177" fontId="1" fillId="0" borderId="0" xfId="33" applyNumberFormat="1" applyFont="1" applyFill="1" applyAlignment="1">
      <alignment horizontal="right" vertical="center" wrapText="1"/>
    </xf>
    <xf numFmtId="177" fontId="3" fillId="0" borderId="1" xfId="17" applyNumberFormat="1" applyFont="1" applyFill="1" applyBorder="1" applyAlignment="1">
      <alignment horizontal="center" vertical="center" wrapText="1"/>
    </xf>
    <xf numFmtId="0" fontId="3" fillId="0" borderId="1" xfId="51" applyFont="1" applyFill="1" applyBorder="1" applyAlignment="1">
      <alignment horizontal="left" vertical="center" wrapText="1"/>
    </xf>
    <xf numFmtId="176" fontId="4" fillId="0" borderId="2" xfId="52" applyNumberFormat="1" applyFont="1" applyFill="1" applyBorder="1" applyAlignment="1">
      <alignment horizontal="right" vertical="center"/>
    </xf>
    <xf numFmtId="177" fontId="3" fillId="0" borderId="0" xfId="17" applyNumberFormat="1" applyFont="1" applyFill="1" applyBorder="1" applyAlignment="1">
      <alignment horizontal="center" vertical="center" wrapText="1"/>
    </xf>
    <xf numFmtId="177" fontId="3" fillId="0" borderId="0" xfId="17" applyNumberFormat="1" applyFont="1" applyFill="1" applyBorder="1" applyAlignment="1">
      <alignment horizontal="right" vertical="center" wrapText="1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常规_lvxiaoli_1.1101保监会－以集团本..况表(按业务分）(2007" xfId="17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常规_lvxiaoli_1.1006保监会－以集团本..况表(按业务分）(2007" xfId="33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常规 2 4" xfId="51"/>
    <cellStyle name="常规_lvxiaoli_1.1006保监会－产险.险保费收入情况表（2007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49"/>
  <sheetViews>
    <sheetView showGridLines="0" tabSelected="1" view="pageBreakPreview" zoomScaleNormal="100" zoomScaleSheetLayoutView="100" workbookViewId="0">
      <selection activeCell="N13" sqref="N13"/>
    </sheetView>
  </sheetViews>
  <sheetFormatPr defaultColWidth="8" defaultRowHeight="20.4" outlineLevelCol="7"/>
  <cols>
    <col min="1" max="1" width="0.75" style="3" customWidth="1"/>
    <col min="2" max="2" width="2.12962962962963" style="3" customWidth="1"/>
    <col min="3" max="3" width="28.5" style="1" customWidth="1"/>
    <col min="4" max="8" width="13.25" style="4" customWidth="1"/>
    <col min="9" max="16384" width="8" style="3"/>
  </cols>
  <sheetData>
    <row r="1" ht="24" customHeight="1" spans="1:8">
      <c r="A1" s="3" t="s">
        <v>0</v>
      </c>
      <c r="C1" s="5" t="s">
        <v>1</v>
      </c>
      <c r="D1" s="5"/>
      <c r="E1" s="5"/>
      <c r="F1" s="5"/>
      <c r="G1" s="5"/>
      <c r="H1" s="6"/>
    </row>
    <row r="2" ht="6.95" customHeight="1" spans="2:8">
      <c r="B2" s="7" t="s">
        <v>2</v>
      </c>
      <c r="C2" s="1" t="s">
        <v>2</v>
      </c>
      <c r="D2" s="4" t="s">
        <v>2</v>
      </c>
      <c r="E2" s="4" t="s">
        <v>2</v>
      </c>
      <c r="F2" s="4" t="s">
        <v>2</v>
      </c>
      <c r="G2" s="4" t="s">
        <v>2</v>
      </c>
      <c r="H2" s="4" t="s">
        <v>2</v>
      </c>
    </row>
    <row r="3" ht="21.75" customHeight="1" spans="2:8">
      <c r="B3" s="8"/>
      <c r="C3" s="9"/>
      <c r="D3" s="10"/>
      <c r="E3" s="11" t="s">
        <v>3</v>
      </c>
      <c r="F3" s="4" t="s">
        <v>2</v>
      </c>
      <c r="G3" s="12" t="s">
        <v>4</v>
      </c>
      <c r="H3" s="12"/>
    </row>
    <row r="4" ht="1.5" customHeight="1" spans="2:8">
      <c r="B4" s="7" t="s">
        <v>2</v>
      </c>
      <c r="C4" s="1" t="s">
        <v>2</v>
      </c>
      <c r="E4" s="4" t="s">
        <v>2</v>
      </c>
      <c r="F4" s="4" t="s">
        <v>2</v>
      </c>
      <c r="G4" s="4" t="s">
        <v>2</v>
      </c>
      <c r="H4" s="4" t="s">
        <v>2</v>
      </c>
    </row>
    <row r="5" s="1" customFormat="1" ht="18.95" customHeight="1" spans="3:8">
      <c r="C5" s="13" t="s">
        <v>5</v>
      </c>
      <c r="D5" s="13" t="s">
        <v>6</v>
      </c>
      <c r="E5" s="13" t="s">
        <v>7</v>
      </c>
      <c r="F5" s="13" t="s">
        <v>8</v>
      </c>
      <c r="G5" s="13" t="s">
        <v>9</v>
      </c>
      <c r="H5" s="13" t="s">
        <v>10</v>
      </c>
    </row>
    <row r="6" ht="18.95" customHeight="1" spans="3:8">
      <c r="C6" s="14" t="s">
        <v>11</v>
      </c>
      <c r="D6" s="15">
        <f>44900.17</f>
        <v>44900.17</v>
      </c>
      <c r="E6" s="15">
        <f>11671.11</f>
        <v>11671.11</v>
      </c>
      <c r="F6" s="15">
        <f>23571.85</f>
        <v>23571.85</v>
      </c>
      <c r="G6" s="15">
        <f>1210.19</f>
        <v>1210.19</v>
      </c>
      <c r="H6" s="15">
        <f>8447.02</f>
        <v>8447.02</v>
      </c>
    </row>
    <row r="7" ht="18.95" customHeight="1" spans="3:8">
      <c r="C7" s="14" t="s">
        <v>12</v>
      </c>
      <c r="D7" s="15">
        <f>37.42</f>
        <v>37.42</v>
      </c>
      <c r="E7" s="15">
        <f>30.5</f>
        <v>30.5</v>
      </c>
      <c r="F7" s="15">
        <f>0.04</f>
        <v>0.04</v>
      </c>
      <c r="G7" s="15">
        <f>3.54</f>
        <v>3.54</v>
      </c>
      <c r="H7" s="15">
        <f>3.34</f>
        <v>3.34</v>
      </c>
    </row>
    <row r="8" ht="18.95" customHeight="1" spans="3:8">
      <c r="C8" s="14" t="s">
        <v>13</v>
      </c>
      <c r="D8" s="15">
        <f>2526.93</f>
        <v>2526.93</v>
      </c>
      <c r="E8" s="15">
        <f>443.49</f>
        <v>443.49</v>
      </c>
      <c r="F8" s="15">
        <f>1498.73</f>
        <v>1498.73</v>
      </c>
      <c r="G8" s="15">
        <f>62.44</f>
        <v>62.44</v>
      </c>
      <c r="H8" s="15">
        <f>522.27</f>
        <v>522.27</v>
      </c>
    </row>
    <row r="9" ht="18.95" customHeight="1" spans="3:8">
      <c r="C9" s="14" t="s">
        <v>14</v>
      </c>
      <c r="D9" s="15">
        <f>660.47</f>
        <v>660.47</v>
      </c>
      <c r="E9" s="15">
        <f>154.11</f>
        <v>154.11</v>
      </c>
      <c r="F9" s="15">
        <f>372.47</f>
        <v>372.47</v>
      </c>
      <c r="G9" s="15">
        <f>18.25</f>
        <v>18.25</v>
      </c>
      <c r="H9" s="15">
        <f>115.64</f>
        <v>115.64</v>
      </c>
    </row>
    <row r="10" ht="18.95" customHeight="1" spans="3:8">
      <c r="C10" s="14" t="s">
        <v>15</v>
      </c>
      <c r="D10" s="15">
        <f>1994.5</f>
        <v>1994.5</v>
      </c>
      <c r="E10" s="15">
        <f>544.78</f>
        <v>544.78</v>
      </c>
      <c r="F10" s="15">
        <f>1044.61</f>
        <v>1044.61</v>
      </c>
      <c r="G10" s="15">
        <f>44.26</f>
        <v>44.26</v>
      </c>
      <c r="H10" s="15">
        <f>360.85</f>
        <v>360.85</v>
      </c>
    </row>
    <row r="11" ht="18.95" customHeight="1" spans="3:8">
      <c r="C11" s="14" t="s">
        <v>16</v>
      </c>
      <c r="D11" s="15">
        <f>980.03</f>
        <v>980.03</v>
      </c>
      <c r="E11" s="15">
        <f>289.18</f>
        <v>289.18</v>
      </c>
      <c r="F11" s="15">
        <f>494.83</f>
        <v>494.83</v>
      </c>
      <c r="G11" s="15">
        <f>20.93</f>
        <v>20.93</v>
      </c>
      <c r="H11" s="15">
        <f>175.09</f>
        <v>175.09</v>
      </c>
    </row>
    <row r="12" ht="18.95" customHeight="1" spans="3:8">
      <c r="C12" s="14" t="s">
        <v>17</v>
      </c>
      <c r="D12" s="15">
        <f>378.2</f>
        <v>378.2</v>
      </c>
      <c r="E12" s="15">
        <f>83.46</f>
        <v>83.46</v>
      </c>
      <c r="F12" s="15">
        <f>229.86</f>
        <v>229.86</v>
      </c>
      <c r="G12" s="15">
        <f>7.54</f>
        <v>7.54</v>
      </c>
      <c r="H12" s="15">
        <f>57.34</f>
        <v>57.34</v>
      </c>
    </row>
    <row r="13" ht="18.95" customHeight="1" spans="3:8">
      <c r="C13" s="14" t="s">
        <v>18</v>
      </c>
      <c r="D13" s="15">
        <f>1970.9</f>
        <v>1970.9</v>
      </c>
      <c r="E13" s="15">
        <f>523.91</f>
        <v>523.91</v>
      </c>
      <c r="F13" s="15">
        <f>1047.99</f>
        <v>1047.99</v>
      </c>
      <c r="G13" s="15">
        <f>75.3</f>
        <v>75.3</v>
      </c>
      <c r="H13" s="15">
        <f>323.7</f>
        <v>323.7</v>
      </c>
    </row>
    <row r="14" ht="18.95" customHeight="1" spans="3:8">
      <c r="C14" s="14" t="s">
        <v>19</v>
      </c>
      <c r="D14" s="15">
        <f>4051.1</f>
        <v>4051.1</v>
      </c>
      <c r="E14" s="15">
        <f>1002.17</f>
        <v>1002.17</v>
      </c>
      <c r="F14" s="15">
        <f>2345</f>
        <v>2345</v>
      </c>
      <c r="G14" s="15">
        <f>94.38</f>
        <v>94.38</v>
      </c>
      <c r="H14" s="15">
        <f>609.55</f>
        <v>609.55</v>
      </c>
    </row>
    <row r="15" ht="18.95" customHeight="1" spans="3:8">
      <c r="C15" s="14" t="s">
        <v>20</v>
      </c>
      <c r="D15" s="15">
        <f>2484.66</f>
        <v>2484.66</v>
      </c>
      <c r="E15" s="15">
        <f>745.04</f>
        <v>745.04</v>
      </c>
      <c r="F15" s="15">
        <f>1288.33</f>
        <v>1288.33</v>
      </c>
      <c r="G15" s="15">
        <f>62.76</f>
        <v>62.76</v>
      </c>
      <c r="H15" s="15">
        <f>388.54</f>
        <v>388.54</v>
      </c>
    </row>
    <row r="16" ht="18.95" customHeight="1" spans="3:8">
      <c r="C16" s="14" t="s">
        <v>21</v>
      </c>
      <c r="D16" s="15">
        <f>375.1</f>
        <v>375.1</v>
      </c>
      <c r="E16" s="15">
        <f>175.68</f>
        <v>175.68</v>
      </c>
      <c r="F16" s="15">
        <f>144.59</f>
        <v>144.59</v>
      </c>
      <c r="G16" s="15">
        <f>11.39</f>
        <v>11.39</v>
      </c>
      <c r="H16" s="15">
        <f>43.45</f>
        <v>43.45</v>
      </c>
    </row>
    <row r="17" ht="18.95" customHeight="1" spans="3:8">
      <c r="C17" s="14" t="s">
        <v>22</v>
      </c>
      <c r="D17" s="15">
        <f>1051.79</f>
        <v>1051.79</v>
      </c>
      <c r="E17" s="15">
        <f>256.81</f>
        <v>256.81</v>
      </c>
      <c r="F17" s="15">
        <f>541.35</f>
        <v>541.35</v>
      </c>
      <c r="G17" s="15">
        <f>29.8</f>
        <v>29.8</v>
      </c>
      <c r="H17" s="15">
        <f>223.84</f>
        <v>223.84</v>
      </c>
    </row>
    <row r="18" ht="18.95" customHeight="1" spans="3:8">
      <c r="C18" s="14" t="s">
        <v>23</v>
      </c>
      <c r="D18" s="15">
        <f>242.7</f>
        <v>242.7</v>
      </c>
      <c r="E18" s="15">
        <f>71.24</f>
        <v>71.24</v>
      </c>
      <c r="F18" s="15">
        <f>121.82</f>
        <v>121.82</v>
      </c>
      <c r="G18" s="15">
        <f>7.09</f>
        <v>7.09</v>
      </c>
      <c r="H18" s="15">
        <f>42.54</f>
        <v>42.54</v>
      </c>
    </row>
    <row r="19" ht="18.95" customHeight="1" spans="3:8">
      <c r="C19" s="14" t="s">
        <v>24</v>
      </c>
      <c r="D19" s="15">
        <f>2816.49</f>
        <v>2816.49</v>
      </c>
      <c r="E19" s="15">
        <f>668.04</f>
        <v>668.04</v>
      </c>
      <c r="F19" s="15">
        <f>1472.87</f>
        <v>1472.87</v>
      </c>
      <c r="G19" s="15">
        <f>68.89</f>
        <v>68.89</v>
      </c>
      <c r="H19" s="15">
        <f>606.7</f>
        <v>606.7</v>
      </c>
    </row>
    <row r="20" ht="18.95" customHeight="1" spans="3:8">
      <c r="C20" s="14" t="s">
        <v>25</v>
      </c>
      <c r="D20" s="15">
        <f>461.84</f>
        <v>461.84</v>
      </c>
      <c r="E20" s="15">
        <f>144.18</f>
        <v>144.18</v>
      </c>
      <c r="F20" s="15">
        <f>210.28</f>
        <v>210.28</v>
      </c>
      <c r="G20" s="15">
        <f>11.28</f>
        <v>11.28</v>
      </c>
      <c r="H20" s="15">
        <f>96.09</f>
        <v>96.09</v>
      </c>
    </row>
    <row r="21" ht="18.95" customHeight="1" spans="3:8">
      <c r="C21" s="14" t="s">
        <v>26</v>
      </c>
      <c r="D21" s="15">
        <f>4153.2</f>
        <v>4153.2</v>
      </c>
      <c r="E21" s="15">
        <f>1019.18</f>
        <v>1019.18</v>
      </c>
      <c r="F21" s="15">
        <f>2283.1</f>
        <v>2283.1</v>
      </c>
      <c r="G21" s="15">
        <f>138.93</f>
        <v>138.93</v>
      </c>
      <c r="H21" s="15">
        <f>712</f>
        <v>712</v>
      </c>
    </row>
    <row r="22" ht="18.95" customHeight="1" spans="3:8">
      <c r="C22" s="14" t="s">
        <v>27</v>
      </c>
      <c r="D22" s="15">
        <f>1426.51</f>
        <v>1426.51</v>
      </c>
      <c r="E22" s="15">
        <f>376.73</f>
        <v>376.73</v>
      </c>
      <c r="F22" s="15">
        <f>638.34</f>
        <v>638.34</v>
      </c>
      <c r="G22" s="15">
        <f>44.54</f>
        <v>44.54</v>
      </c>
      <c r="H22" s="15">
        <f>366.91</f>
        <v>366.91</v>
      </c>
    </row>
    <row r="23" ht="18.95" customHeight="1" spans="3:8">
      <c r="C23" s="14" t="s">
        <v>28</v>
      </c>
      <c r="D23" s="15">
        <f>198.3</f>
        <v>198.3</v>
      </c>
      <c r="E23" s="15">
        <f>74.03</f>
        <v>74.03</v>
      </c>
      <c r="F23" s="15">
        <f>80.02</f>
        <v>80.02</v>
      </c>
      <c r="G23" s="15">
        <f>6.33</f>
        <v>6.33</v>
      </c>
      <c r="H23" s="15">
        <f>37.92</f>
        <v>37.92</v>
      </c>
    </row>
    <row r="24" ht="18.95" customHeight="1" spans="3:8">
      <c r="C24" s="14" t="s">
        <v>29</v>
      </c>
      <c r="D24" s="15">
        <f>997.5</f>
        <v>997.5</v>
      </c>
      <c r="E24" s="15">
        <f>230.5</f>
        <v>230.5</v>
      </c>
      <c r="F24" s="15">
        <f>578.5</f>
        <v>578.5</v>
      </c>
      <c r="G24" s="15">
        <f>21.66</f>
        <v>21.66</v>
      </c>
      <c r="H24" s="15">
        <f>166.85</f>
        <v>166.85</v>
      </c>
    </row>
    <row r="25" ht="18.95" customHeight="1" spans="3:8">
      <c r="C25" s="14" t="s">
        <v>30</v>
      </c>
      <c r="D25" s="15">
        <f>691.29</f>
        <v>691.29</v>
      </c>
      <c r="E25" s="15">
        <f>170.51</f>
        <v>170.51</v>
      </c>
      <c r="F25" s="15">
        <f>349.2</f>
        <v>349.2</v>
      </c>
      <c r="G25" s="15">
        <f>15.66</f>
        <v>15.66</v>
      </c>
      <c r="H25" s="15">
        <f>155.92</f>
        <v>155.92</v>
      </c>
    </row>
    <row r="26" ht="18.95" customHeight="1" spans="3:8">
      <c r="C26" s="14" t="s">
        <v>31</v>
      </c>
      <c r="D26" s="15">
        <f>995.47</f>
        <v>995.47</v>
      </c>
      <c r="E26" s="15">
        <f>198.51</f>
        <v>198.51</v>
      </c>
      <c r="F26" s="15">
        <f>549.04</f>
        <v>549.04</v>
      </c>
      <c r="G26" s="15">
        <f>17.12</f>
        <v>17.12</v>
      </c>
      <c r="H26" s="15">
        <f>230.8</f>
        <v>230.8</v>
      </c>
    </row>
    <row r="27" ht="18.95" customHeight="1" spans="3:8">
      <c r="C27" s="14" t="s">
        <v>32</v>
      </c>
      <c r="D27" s="15">
        <f>1379.67</f>
        <v>1379.67</v>
      </c>
      <c r="E27" s="15">
        <f>436.81</f>
        <v>436.81</v>
      </c>
      <c r="F27" s="15">
        <f>656.84</f>
        <v>656.84</v>
      </c>
      <c r="G27" s="15">
        <f>37.42</f>
        <v>37.42</v>
      </c>
      <c r="H27" s="15">
        <f>248.6</f>
        <v>248.6</v>
      </c>
    </row>
    <row r="28" ht="18.95" customHeight="1" spans="3:8">
      <c r="C28" s="14" t="s">
        <v>33</v>
      </c>
      <c r="D28" s="15">
        <f>909.6</f>
        <v>909.6</v>
      </c>
      <c r="E28" s="15">
        <f>264.81</f>
        <v>264.81</v>
      </c>
      <c r="F28" s="15">
        <f>444.03</f>
        <v>444.03</v>
      </c>
      <c r="G28" s="15">
        <f>25.27</f>
        <v>25.27</v>
      </c>
      <c r="H28" s="15">
        <f>175.5</f>
        <v>175.5</v>
      </c>
    </row>
    <row r="29" ht="18.95" customHeight="1" spans="3:8">
      <c r="C29" s="14" t="s">
        <v>34</v>
      </c>
      <c r="D29" s="15">
        <f>2360.03</f>
        <v>2360.03</v>
      </c>
      <c r="E29" s="15">
        <f>549.72</f>
        <v>549.72</v>
      </c>
      <c r="F29" s="15">
        <f>1264.25</f>
        <v>1264.25</v>
      </c>
      <c r="G29" s="15">
        <f>52.26</f>
        <v>52.26</v>
      </c>
      <c r="H29" s="15">
        <f>493.79</f>
        <v>493.79</v>
      </c>
    </row>
    <row r="30" ht="18.95" customHeight="1" spans="3:8">
      <c r="C30" s="14" t="s">
        <v>35</v>
      </c>
      <c r="D30" s="15">
        <f>1878.11</f>
        <v>1878.11</v>
      </c>
      <c r="E30" s="15">
        <f>379.76</f>
        <v>379.76</v>
      </c>
      <c r="F30" s="15">
        <f>1086.94</f>
        <v>1086.94</v>
      </c>
      <c r="G30" s="15">
        <f>42.84</f>
        <v>42.84</v>
      </c>
      <c r="H30" s="15">
        <f>368.56</f>
        <v>368.56</v>
      </c>
    </row>
    <row r="31" ht="18.95" customHeight="1" spans="3:8">
      <c r="C31" s="14" t="s">
        <v>36</v>
      </c>
      <c r="D31" s="15">
        <f>1508.75</f>
        <v>1508.75</v>
      </c>
      <c r="E31" s="15">
        <f>391.25</f>
        <v>391.25</v>
      </c>
      <c r="F31" s="15">
        <f>748.53</f>
        <v>748.53</v>
      </c>
      <c r="G31" s="15">
        <f>40.68</f>
        <v>40.68</v>
      </c>
      <c r="H31" s="15">
        <f>328.28</f>
        <v>328.28</v>
      </c>
    </row>
    <row r="32" ht="18.95" customHeight="1" spans="3:8">
      <c r="C32" s="14" t="s">
        <v>37</v>
      </c>
      <c r="D32" s="15">
        <f>965.5</f>
        <v>965.5</v>
      </c>
      <c r="E32" s="15">
        <f>213.75</f>
        <v>213.75</v>
      </c>
      <c r="F32" s="15">
        <f>519.23</f>
        <v>519.23</v>
      </c>
      <c r="G32" s="15">
        <f>26.24</f>
        <v>26.24</v>
      </c>
      <c r="H32" s="15">
        <f>206.28</f>
        <v>206.28</v>
      </c>
    </row>
    <row r="33" ht="18.95" customHeight="1" spans="3:8">
      <c r="C33" s="14" t="s">
        <v>38</v>
      </c>
      <c r="D33" s="15">
        <f>2204.91</f>
        <v>2204.91</v>
      </c>
      <c r="E33" s="15">
        <f>557.33</f>
        <v>557.33</v>
      </c>
      <c r="F33" s="15">
        <f>1172.88</f>
        <v>1172.88</v>
      </c>
      <c r="G33" s="15">
        <f>60.64</f>
        <v>60.64</v>
      </c>
      <c r="H33" s="15">
        <f>414.05</f>
        <v>414.05</v>
      </c>
    </row>
    <row r="34" ht="18.95" customHeight="1" spans="3:8">
      <c r="C34" s="14" t="s">
        <v>39</v>
      </c>
      <c r="D34" s="15">
        <f>496.26</f>
        <v>496.26</v>
      </c>
      <c r="E34" s="15">
        <f>214.66</f>
        <v>214.66</v>
      </c>
      <c r="F34" s="15">
        <f>180.71</f>
        <v>180.71</v>
      </c>
      <c r="G34" s="15">
        <f>20.65</f>
        <v>20.65</v>
      </c>
      <c r="H34" s="15">
        <f>80.24</f>
        <v>80.24</v>
      </c>
    </row>
    <row r="35" ht="18.95" customHeight="1" spans="3:8">
      <c r="C35" s="14" t="s">
        <v>40</v>
      </c>
      <c r="D35" s="15">
        <f>690.2</f>
        <v>690.2</v>
      </c>
      <c r="E35" s="15">
        <f>262.08</f>
        <v>262.08</v>
      </c>
      <c r="F35" s="15">
        <f>251.55</f>
        <v>251.55</v>
      </c>
      <c r="G35" s="15">
        <f>28.32</f>
        <v>28.32</v>
      </c>
      <c r="H35" s="15">
        <f>148.26</f>
        <v>148.26</v>
      </c>
    </row>
    <row r="36" ht="18.95" customHeight="1" spans="3:8">
      <c r="C36" s="14" t="s">
        <v>41</v>
      </c>
      <c r="D36" s="15">
        <f>39.98</f>
        <v>39.98</v>
      </c>
      <c r="E36" s="15">
        <f>27.44</f>
        <v>27.44</v>
      </c>
      <c r="F36" s="15">
        <f>5.4</f>
        <v>5.4</v>
      </c>
      <c r="G36" s="15">
        <f>2.94</f>
        <v>2.94</v>
      </c>
      <c r="H36" s="15">
        <f>4.2</f>
        <v>4.2</v>
      </c>
    </row>
    <row r="37" ht="18.95" customHeight="1" spans="3:8">
      <c r="C37" s="14" t="s">
        <v>42</v>
      </c>
      <c r="D37" s="15">
        <f>1052.37</f>
        <v>1052.37</v>
      </c>
      <c r="E37" s="15">
        <f>254.71</f>
        <v>254.71</v>
      </c>
      <c r="F37" s="15">
        <f>598.19</f>
        <v>598.19</v>
      </c>
      <c r="G37" s="15">
        <f>23.67</f>
        <v>23.67</v>
      </c>
      <c r="H37" s="15">
        <f>175.81</f>
        <v>175.81</v>
      </c>
    </row>
    <row r="38" ht="18.95" customHeight="1" spans="3:8">
      <c r="C38" s="14" t="s">
        <v>43</v>
      </c>
      <c r="D38" s="15">
        <f>490.32</f>
        <v>490.32</v>
      </c>
      <c r="E38" s="15">
        <f>131</f>
        <v>131</v>
      </c>
      <c r="F38" s="15">
        <f>257.95</f>
        <v>257.95</v>
      </c>
      <c r="G38" s="15">
        <f>14.27</f>
        <v>14.27</v>
      </c>
      <c r="H38" s="15">
        <f>87.11</f>
        <v>87.11</v>
      </c>
    </row>
    <row r="39" ht="18.95" customHeight="1" spans="3:8">
      <c r="C39" s="14" t="s">
        <v>44</v>
      </c>
      <c r="D39" s="15">
        <f>106.89</f>
        <v>106.89</v>
      </c>
      <c r="E39" s="15">
        <f>44.86</f>
        <v>44.86</v>
      </c>
      <c r="F39" s="15">
        <f>41.93</f>
        <v>41.93</v>
      </c>
      <c r="G39" s="15">
        <f>3.39</f>
        <v>3.39</v>
      </c>
      <c r="H39" s="15">
        <f>16.71</f>
        <v>16.71</v>
      </c>
    </row>
    <row r="40" ht="18.95" customHeight="1" spans="3:8">
      <c r="C40" s="14" t="s">
        <v>45</v>
      </c>
      <c r="D40" s="15">
        <f>211.14</f>
        <v>211.14</v>
      </c>
      <c r="E40" s="15">
        <f>65.35</f>
        <v>65.35</v>
      </c>
      <c r="F40" s="15">
        <f>100.8</f>
        <v>100.8</v>
      </c>
      <c r="G40" s="15">
        <f>6.95</f>
        <v>6.95</v>
      </c>
      <c r="H40" s="15">
        <f>38.04</f>
        <v>38.04</v>
      </c>
    </row>
    <row r="41" ht="18.95" customHeight="1" spans="3:8">
      <c r="C41" s="14" t="s">
        <v>46</v>
      </c>
      <c r="D41" s="15">
        <f>685.69</f>
        <v>685.69</v>
      </c>
      <c r="E41" s="15">
        <f>228.81</f>
        <v>228.81</v>
      </c>
      <c r="F41" s="15">
        <f>303.94</f>
        <v>303.94</v>
      </c>
      <c r="G41" s="15">
        <f>18.3</f>
        <v>18.3</v>
      </c>
      <c r="H41" s="15">
        <f>134.65</f>
        <v>134.65</v>
      </c>
    </row>
    <row r="42" ht="18.95" customHeight="1" spans="3:8">
      <c r="C42" s="14" t="s">
        <v>47</v>
      </c>
      <c r="D42" s="15">
        <f>645.56</f>
        <v>645.56</v>
      </c>
      <c r="E42" s="15">
        <f>205.38</f>
        <v>205.38</v>
      </c>
      <c r="F42" s="15">
        <f>301.95</f>
        <v>301.95</v>
      </c>
      <c r="G42" s="15">
        <f>15.73</f>
        <v>15.73</v>
      </c>
      <c r="H42" s="15">
        <f>122.5</f>
        <v>122.5</v>
      </c>
    </row>
    <row r="43" ht="18.95" customHeight="1" spans="3:8">
      <c r="C43" s="14" t="s">
        <v>48</v>
      </c>
      <c r="D43" s="15">
        <f>780.6</f>
        <v>780.6</v>
      </c>
      <c r="E43" s="15">
        <f>241.23</f>
        <v>241.23</v>
      </c>
      <c r="F43" s="15">
        <f>345.79</f>
        <v>345.79</v>
      </c>
      <c r="G43" s="15">
        <f>28.53</f>
        <v>28.53</v>
      </c>
      <c r="H43" s="15">
        <f>165.06</f>
        <v>165.06</v>
      </c>
    </row>
    <row r="44" ht="15" customHeight="1" spans="3:8">
      <c r="C44" s="16"/>
      <c r="D44" s="17"/>
      <c r="E44" s="17"/>
      <c r="F44" s="17"/>
      <c r="G44" s="17"/>
      <c r="H44" s="17"/>
    </row>
    <row r="45" s="2" customFormat="1" ht="70" customHeight="1" spans="3:8">
      <c r="C45" s="8" t="s">
        <v>49</v>
      </c>
      <c r="D45" s="8"/>
      <c r="E45" s="8"/>
      <c r="F45" s="8"/>
      <c r="G45" s="8"/>
      <c r="H45" s="8"/>
    </row>
    <row r="46" s="2" customFormat="1" ht="45" customHeight="1" spans="1:8">
      <c r="A46" s="7"/>
      <c r="B46" s="7"/>
      <c r="C46" s="8" t="s">
        <v>50</v>
      </c>
      <c r="D46" s="8"/>
      <c r="E46" s="8"/>
      <c r="F46" s="8"/>
      <c r="G46" s="8"/>
      <c r="H46" s="8"/>
    </row>
    <row r="47" s="2" customFormat="1" ht="37.15" customHeight="1" spans="1:8">
      <c r="A47" s="7"/>
      <c r="B47" s="7"/>
      <c r="C47" s="7" t="s">
        <v>51</v>
      </c>
      <c r="D47" s="7"/>
      <c r="E47" s="7"/>
      <c r="F47" s="7"/>
      <c r="G47" s="7"/>
      <c r="H47" s="7"/>
    </row>
    <row r="48" ht="50" customHeight="1" spans="3:8">
      <c r="C48" s="8" t="s">
        <v>52</v>
      </c>
      <c r="D48" s="8"/>
      <c r="E48" s="8"/>
      <c r="F48" s="8"/>
      <c r="G48" s="8"/>
      <c r="H48" s="8"/>
    </row>
    <row r="49" ht="45" customHeight="1" spans="3:8">
      <c r="C49" s="8" t="s">
        <v>53</v>
      </c>
      <c r="D49" s="8"/>
      <c r="E49" s="8"/>
      <c r="F49" s="8"/>
      <c r="G49" s="8"/>
      <c r="H49" s="8"/>
    </row>
  </sheetData>
  <mergeCells count="6">
    <mergeCell ref="C1:H1"/>
    <mergeCell ref="G3:H3"/>
    <mergeCell ref="C45:H45"/>
    <mergeCell ref="C46:H46"/>
    <mergeCell ref="C48:H48"/>
    <mergeCell ref="C49:H49"/>
  </mergeCells>
  <printOptions horizontalCentered="1"/>
  <pageMargins left="0" right="0" top="0.393055555555556" bottom="0" header="0.511805555555556" footer="0.511805555555556"/>
  <pageSetup paperSize="9" scale="78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各地区数据（月度）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2022-01-25T07:37:22Z</dcterms:created>
  <dcterms:modified xsi:type="dcterms:W3CDTF">2022-01-25T07:37:27Z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