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84" windowHeight="9635"/>
  </bookViews>
  <sheets>
    <sheet name="产险公司数据（月度）  " sheetId="1" r:id="rId1"/>
  </sheets>
  <definedNames>
    <definedName name="_xlnm.Print_Area" localSheetId="0">'产险公司数据（月度）  '!$A$1:$C$34</definedName>
  </definedNames>
  <calcPr calcId="144525"/>
</workbook>
</file>

<file path=xl/sharedStrings.xml><?xml version="1.0" encoding="utf-8"?>
<sst xmlns="http://schemas.openxmlformats.org/spreadsheetml/2006/main" count="28">
  <si>
    <t xml:space="preserve"> </t>
  </si>
  <si>
    <t>2021年10月财产保险公司经营情况表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</si>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</sst>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5">
    <font>
      <sz val="11"/>
      <color theme="1"/>
      <name val="宋体"/>
      <charset val="134"/>
      <scheme val="minor"/>
    </font>
    <font>
      <sz val="16"/>
      <color theme="1"/>
      <name val="仿宋_GB2312"/>
      <charset val="134"/>
    </font>
    <font>
      <b/>
      <sz val="18"/>
      <color theme="1"/>
      <name val="仿宋_GB2312"/>
      <charset val="134"/>
    </font>
    <font>
      <b/>
      <sz val="16"/>
      <color theme="1"/>
      <name val="仿宋_GB2312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color indexed="0"/>
      <name val="Arial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11" fillId="12" borderId="3" applyNumberFormat="0" applyAlignment="0" applyProtection="0">
      <alignment vertical="center"/>
    </xf>
    <xf numFmtId="0" fontId="22" fillId="26" borderId="9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3" fillId="0" borderId="0">
      <alignment horizontal="left" vertical="center"/>
    </xf>
    <xf numFmtId="0" fontId="24" fillId="0" borderId="0"/>
  </cellStyleXfs>
  <cellXfs count="12">
    <xf numFmtId="0" fontId="0" fillId="0" borderId="0" xfId="0">
      <alignment vertical="center"/>
    </xf>
    <xf numFmtId="0" fontId="1" fillId="0" borderId="0" xfId="49" applyFont="1" applyFill="1">
      <alignment horizontal="left" vertical="center"/>
    </xf>
    <xf numFmtId="0" fontId="2" fillId="0" borderId="0" xfId="49" applyFont="1" applyFill="1" applyAlignment="1">
      <alignment horizontal="center" vertical="center"/>
    </xf>
    <xf numFmtId="0" fontId="1" fillId="0" borderId="0" xfId="49" applyFont="1" applyFill="1" applyAlignment="1">
      <alignment horizontal="right" vertical="center"/>
    </xf>
    <xf numFmtId="0" fontId="1" fillId="0" borderId="0" xfId="50" applyFont="1" applyFill="1" applyBorder="1" applyAlignment="1">
      <alignment horizontal="right" wrapText="1"/>
    </xf>
    <xf numFmtId="0" fontId="3" fillId="0" borderId="1" xfId="49" applyFont="1" applyFill="1" applyBorder="1" applyAlignment="1">
      <alignment horizontal="center" vertical="center"/>
    </xf>
    <xf numFmtId="0" fontId="1" fillId="0" borderId="1" xfId="49" applyFont="1" applyFill="1" applyBorder="1">
      <alignment horizontal="left" vertical="center"/>
    </xf>
    <xf numFmtId="176" fontId="1" fillId="0" borderId="1" xfId="49" applyNumberFormat="1" applyFont="1" applyFill="1" applyBorder="1" applyAlignment="1">
      <alignment horizontal="right" vertical="center"/>
    </xf>
    <xf numFmtId="0" fontId="1" fillId="0" borderId="1" xfId="49" applyFont="1" applyFill="1" applyBorder="1" applyAlignment="1">
      <alignment horizontal="left" vertical="center"/>
    </xf>
    <xf numFmtId="0" fontId="1" fillId="0" borderId="0" xfId="50" applyFont="1" applyFill="1" applyAlignment="1">
      <alignment horizontal="left" wrapText="1"/>
    </xf>
    <xf numFmtId="0" fontId="1" fillId="0" borderId="0" xfId="50" applyFont="1" applyFill="1" applyAlignment="1">
      <alignment horizontal="left"/>
    </xf>
    <xf numFmtId="0" fontId="1" fillId="0" borderId="0" xfId="50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006保监会－产险.险保费收入情况表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4"/>
  <sheetViews>
    <sheetView showGridLines="0" tabSelected="1" view="pageBreakPreview" zoomScale="70" zoomScaleNormal="100" zoomScaleSheetLayoutView="70" workbookViewId="0">
      <selection activeCell="E7" sqref="E7"/>
    </sheetView>
  </sheetViews>
  <sheetFormatPr defaultColWidth="9" defaultRowHeight="20.4" outlineLevelCol="2"/>
  <cols>
    <col min="1" max="1" width="1.75" style="1" customWidth="1"/>
    <col min="2" max="2" width="49.75" style="1" customWidth="1"/>
    <col min="3" max="3" width="40.7962962962963" style="1" customWidth="1"/>
    <col min="4" max="16384" width="9" style="1"/>
  </cols>
  <sheetData>
    <row r="1" spans="1:1">
      <c r="A1" s="1" t="s">
        <v>0</v>
      </c>
    </row>
    <row r="2" ht="22.2" spans="2:3">
      <c r="B2" s="2" t="s">
        <v>1</v>
      </c>
      <c r="C2" s="2"/>
    </row>
    <row r="3" spans="2:3">
      <c r="B3" s="3" t="s">
        <v>2</v>
      </c>
      <c r="C3" s="4" t="s">
        <v>3</v>
      </c>
    </row>
    <row r="4" spans="2:3">
      <c r="B4" s="5" t="s">
        <v>4</v>
      </c>
      <c r="C4" s="5" t="s">
        <v>5</v>
      </c>
    </row>
    <row r="5" spans="2:3">
      <c r="B5" s="6" t="s">
        <v>6</v>
      </c>
      <c r="C5" s="7">
        <f>11399.02</f>
        <v>11399.02</v>
      </c>
    </row>
    <row r="6" spans="2:3">
      <c r="B6" s="6" t="s">
        <v>7</v>
      </c>
      <c r="C6" s="7">
        <f>468.93</f>
        <v>468.93</v>
      </c>
    </row>
    <row r="7" spans="2:3">
      <c r="B7" s="6" t="s">
        <v>8</v>
      </c>
      <c r="C7" s="7">
        <f>85.07</f>
        <v>85.07</v>
      </c>
    </row>
    <row r="8" spans="2:3">
      <c r="B8" s="6" t="s">
        <v>9</v>
      </c>
      <c r="C8" s="7">
        <f>6255.19</f>
        <v>6255.19</v>
      </c>
    </row>
    <row r="9" spans="2:3">
      <c r="B9" s="6" t="s">
        <v>10</v>
      </c>
      <c r="C9" s="7">
        <f>129.57</f>
        <v>129.57</v>
      </c>
    </row>
    <row r="10" spans="2:3">
      <c r="B10" s="6" t="s">
        <v>11</v>
      </c>
      <c r="C10" s="7">
        <f>875.4</f>
        <v>875.4</v>
      </c>
    </row>
    <row r="11" spans="2:3">
      <c r="B11" s="6" t="s">
        <v>12</v>
      </c>
      <c r="C11" s="7">
        <f>439.44</f>
        <v>439.44</v>
      </c>
    </row>
    <row r="12" spans="2:3">
      <c r="B12" s="6" t="s">
        <v>13</v>
      </c>
      <c r="C12" s="7">
        <f>878.93</f>
        <v>878.93</v>
      </c>
    </row>
    <row r="13" spans="2:3">
      <c r="B13" s="6" t="s">
        <v>14</v>
      </c>
      <c r="C13" s="7">
        <f>1236.87</f>
        <v>1236.87</v>
      </c>
    </row>
    <row r="14" spans="2:3">
      <c r="B14" s="6" t="s">
        <v>15</v>
      </c>
      <c r="C14" s="7">
        <f>530.04</f>
        <v>530.04</v>
      </c>
    </row>
    <row r="15" spans="2:3">
      <c r="B15" s="6" t="s">
        <v>16</v>
      </c>
      <c r="C15" s="7">
        <f>6860.73</f>
        <v>6860.73</v>
      </c>
    </row>
    <row r="16" spans="2:3">
      <c r="B16" s="6" t="s">
        <v>17</v>
      </c>
      <c r="C16" s="7">
        <f>83139240.59</f>
        <v>83139240.59</v>
      </c>
    </row>
    <row r="17" spans="2:3">
      <c r="B17" s="6" t="s">
        <v>18</v>
      </c>
      <c r="C17" s="7">
        <f>3975515.14</f>
        <v>3975515.14</v>
      </c>
    </row>
    <row r="18" spans="2:3">
      <c r="B18" s="6" t="s">
        <v>19</v>
      </c>
      <c r="C18" s="7">
        <f>35630627.21</f>
        <v>35630627.21</v>
      </c>
    </row>
    <row r="19" spans="2:3">
      <c r="B19" s="6" t="s">
        <v>13</v>
      </c>
      <c r="C19" s="7">
        <f>40711.47</f>
        <v>40711.47</v>
      </c>
    </row>
    <row r="20" spans="2:3">
      <c r="B20" s="6" t="s">
        <v>14</v>
      </c>
      <c r="C20" s="7">
        <f>10249281.81</f>
        <v>10249281.81</v>
      </c>
    </row>
    <row r="21" spans="2:3">
      <c r="B21" s="6" t="s">
        <v>15</v>
      </c>
      <c r="C21" s="7">
        <f>28077688.57</f>
        <v>28077688.57</v>
      </c>
    </row>
    <row r="22" spans="2:3">
      <c r="B22" s="6" t="s">
        <v>20</v>
      </c>
      <c r="C22" s="7">
        <f>3810436.47</f>
        <v>3810436.47</v>
      </c>
    </row>
    <row r="23" spans="2:3">
      <c r="B23" s="6" t="s">
        <v>18</v>
      </c>
      <c r="C23" s="7">
        <f>45414.52</f>
        <v>45414.52</v>
      </c>
    </row>
    <row r="24" spans="2:3">
      <c r="B24" s="6" t="s">
        <v>19</v>
      </c>
      <c r="C24" s="7">
        <f>749951.88</f>
        <v>749951.88</v>
      </c>
    </row>
    <row r="25" spans="2:3">
      <c r="B25" s="8" t="s">
        <v>21</v>
      </c>
      <c r="C25" s="7">
        <f>339808.53</f>
        <v>339808.53</v>
      </c>
    </row>
    <row r="26" spans="2:3">
      <c r="B26" s="6" t="s">
        <v>12</v>
      </c>
      <c r="C26" s="7">
        <f>212947.22</f>
        <v>212947.22</v>
      </c>
    </row>
    <row r="27" spans="2:3">
      <c r="B27" s="6" t="s">
        <v>14</v>
      </c>
      <c r="C27" s="7">
        <f>984975.11</f>
        <v>984975.11</v>
      </c>
    </row>
    <row r="28" spans="2:3">
      <c r="B28" s="6" t="s">
        <v>15</v>
      </c>
      <c r="C28" s="7">
        <f>404258.49</f>
        <v>404258.49</v>
      </c>
    </row>
    <row r="29" spans="2:3">
      <c r="B29" s="6" t="s">
        <v>22</v>
      </c>
      <c r="C29" s="7">
        <f>25013.66</f>
        <v>25013.66</v>
      </c>
    </row>
    <row r="30" ht="74" customHeight="1" spans="2:3">
      <c r="B30" s="9" t="s">
        <v>23</v>
      </c>
      <c r="C30" s="9"/>
    </row>
    <row r="31" ht="38.45" customHeight="1" spans="2:3">
      <c r="B31" s="9" t="s">
        <v>24</v>
      </c>
      <c r="C31" s="9"/>
    </row>
    <row r="32" ht="38.45" customHeight="1" spans="2:3">
      <c r="B32" s="9" t="s">
        <v>25</v>
      </c>
      <c r="C32" s="9"/>
    </row>
    <row r="33" ht="38.45" customHeight="1" spans="2:3">
      <c r="B33" s="10" t="s">
        <v>26</v>
      </c>
      <c r="C33" s="11"/>
    </row>
    <row r="34" ht="57.95" customHeight="1" spans="2:3">
      <c r="B34" s="9" t="s">
        <v>27</v>
      </c>
      <c r="C34" s="9"/>
    </row>
  </sheetData>
  <mergeCells count="5">
    <mergeCell ref="B2:C2"/>
    <mergeCell ref="B30:C30"/>
    <mergeCell ref="B31:C31"/>
    <mergeCell ref="B32:C32"/>
    <mergeCell ref="B34:C34"/>
  </mergeCells>
  <printOptions horizontalCentered="1"/>
  <pageMargins left="0" right="0" top="0.393055555555556" bottom="0" header="0.511805555555556" footer="0.511805555555556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2021-11-26T09:29:07Z</dcterms:created>
  <dcterms:modified xsi:type="dcterms:W3CDTF">2021-11-26T09:29:11Z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