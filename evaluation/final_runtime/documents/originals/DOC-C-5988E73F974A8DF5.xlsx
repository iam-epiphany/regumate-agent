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各地区数据（月度）" sheetId="1" r:id="rId1"/>
  </sheets>
  <definedNames>
    <definedName name="_xlnm.Print_Area" localSheetId="0">'各地区数据（月度）'!$A$1:$G$47</definedName>
  </definedNames>
  <calcPr calcId="144525"/>
</workbook>
</file>

<file path=xl/sharedStrings.xml><?xml version="1.0" encoding="utf-8"?>
<sst xmlns="http://schemas.openxmlformats.org/spreadsheetml/2006/main" count="52">
  <si>
    <t>2023年02月全国各地区原保险保费收入情况表</t>
  </si>
  <si>
    <t/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</si>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</sst>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  <numFmt numFmtId="177" formatCode="0.00_);[Red]\(0.00\)"/>
  </numFmts>
  <fonts count="27">
    <font>
      <sz val="11"/>
      <color indexed="8"/>
      <name val="宋体"/>
      <charset val="134"/>
    </font>
    <font>
      <sz val="16"/>
      <name val="仿宋_GB2312"/>
      <charset val="134"/>
    </font>
    <font>
      <sz val="16"/>
      <name val="黑体"/>
      <charset val="134"/>
    </font>
    <font>
      <sz val="12"/>
      <name val="仿宋_GB2312"/>
      <charset val="134"/>
    </font>
    <font>
      <sz val="12"/>
      <color indexed="8"/>
      <name val="仿宋_GB2312"/>
      <charset val="134"/>
    </font>
    <font>
      <sz val="16"/>
      <color theme="1"/>
      <name val="仿宋_GB2312"/>
      <charset val="134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9"/>
      <color indexed="0"/>
      <name val="Arial"/>
      <charset val="0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6" borderId="3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1" borderId="5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>
      <alignment horizontal="left"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2" fillId="2" borderId="8" applyNumberFormat="0" applyAlignment="0" applyProtection="0">
      <alignment vertical="center"/>
    </xf>
    <xf numFmtId="0" fontId="7" fillId="2" borderId="3" applyNumberFormat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0" fillId="0" borderId="0">
      <alignment horizontal="left" vertical="center"/>
    </xf>
    <xf numFmtId="0" fontId="26" fillId="2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0" fillId="0" borderId="0">
      <alignment horizontal="left" vertical="center"/>
    </xf>
    <xf numFmtId="0" fontId="20" fillId="0" borderId="0">
      <alignment horizontal="left" vertical="center"/>
    </xf>
  </cellStyleXfs>
  <cellXfs count="21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>
      <alignment horizontal="left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177" fontId="1" fillId="0" borderId="0" xfId="33" applyNumberFormat="1" applyFont="1" applyFill="1" applyAlignment="1">
      <alignment vertical="center" wrapText="1"/>
    </xf>
    <xf numFmtId="177" fontId="3" fillId="0" borderId="0" xfId="33" applyNumberFormat="1" applyFont="1" applyFill="1" applyAlignment="1">
      <alignment horizontal="center" vertical="center" wrapText="1"/>
    </xf>
    <xf numFmtId="177" fontId="3" fillId="0" borderId="0" xfId="33" applyNumberFormat="1" applyFont="1" applyFill="1" applyAlignment="1">
      <alignment horizontal="right" vertical="center" wrapText="1"/>
    </xf>
    <xf numFmtId="177" fontId="4" fillId="0" borderId="0" xfId="51" applyNumberFormat="1" applyFont="1" applyFill="1" applyAlignment="1">
      <alignment horizontal="right" vertical="center"/>
    </xf>
    <xf numFmtId="177" fontId="3" fillId="0" borderId="0" xfId="33" applyNumberFormat="1" applyFont="1" applyFill="1" applyAlignment="1">
      <alignment horizontal="right" vertical="center"/>
    </xf>
    <xf numFmtId="177" fontId="4" fillId="0" borderId="1" xfId="17" applyNumberFormat="1" applyFont="1" applyFill="1" applyBorder="1" applyAlignment="1">
      <alignment horizontal="center" vertical="center" wrapText="1"/>
    </xf>
    <xf numFmtId="0" fontId="4" fillId="0" borderId="1" xfId="52" applyFont="1" applyFill="1" applyBorder="1" applyAlignment="1">
      <alignment horizontal="left" vertical="center" wrapText="1"/>
    </xf>
    <xf numFmtId="176" fontId="5" fillId="0" borderId="2" xfId="51" applyNumberFormat="1" applyFont="1" applyFill="1" applyBorder="1" applyAlignment="1">
      <alignment horizontal="right" vertical="center"/>
    </xf>
    <xf numFmtId="177" fontId="4" fillId="0" borderId="0" xfId="17" applyNumberFormat="1" applyFont="1" applyFill="1" applyBorder="1" applyAlignment="1">
      <alignment horizontal="center" vertical="center" wrapText="1"/>
    </xf>
    <xf numFmtId="177" fontId="4" fillId="0" borderId="0" xfId="17" applyNumberFormat="1" applyFont="1" applyFill="1" applyBorder="1" applyAlignment="1">
      <alignment horizontal="right" vertical="center" wrapText="1"/>
    </xf>
    <xf numFmtId="177" fontId="3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vertical="center"/>
    </xf>
    <xf numFmtId="177" fontId="3" fillId="0" borderId="0" xfId="33" applyNumberFormat="1" applyFont="1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57"/>
  <sheetViews>
    <sheetView showGridLines="0" tabSelected="1" view="pageBreakPreview" zoomScaleNormal="100" zoomScaleSheetLayoutView="100" workbookViewId="0">
      <selection activeCell="M12" sqref="M12"/>
    </sheetView>
  </sheetViews>
  <sheetFormatPr defaultColWidth="8" defaultRowHeight="20.4" outlineLevelCol="6"/>
  <cols>
    <col min="1" max="1" width="1.66666666666667" style="3" customWidth="1"/>
    <col min="2" max="2" width="23" style="1" customWidth="1"/>
    <col min="3" max="7" width="13.25" style="4" customWidth="1"/>
    <col min="8" max="16384" width="8" style="3"/>
  </cols>
  <sheetData>
    <row r="1" ht="26" customHeight="1" spans="2:7">
      <c r="B1" s="5" t="s">
        <v>0</v>
      </c>
      <c r="C1" s="5"/>
      <c r="D1" s="5"/>
      <c r="E1" s="5"/>
      <c r="F1" s="5"/>
      <c r="G1" s="6"/>
    </row>
    <row r="2" ht="22" customHeight="1" spans="1:7">
      <c r="A2" s="7"/>
      <c r="B2" s="8"/>
      <c r="C2" s="9"/>
      <c r="D2" s="10"/>
      <c r="E2" s="11" t="s">
        <v>1</v>
      </c>
      <c r="F2" s="9" t="s">
        <v>2</v>
      </c>
      <c r="G2" s="9"/>
    </row>
    <row r="3" s="1" customFormat="1" ht="17" customHeight="1" spans="2:7"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</row>
    <row r="4" ht="17" customHeight="1" spans="2:7">
      <c r="B4" s="13" t="s">
        <v>9</v>
      </c>
      <c r="C4" s="14">
        <f>14045.73</f>
        <v>14045.73</v>
      </c>
      <c r="D4" s="14">
        <f>2270.2</f>
        <v>2270.2</v>
      </c>
      <c r="E4" s="14">
        <f>9561.01</f>
        <v>9561.01</v>
      </c>
      <c r="F4" s="14">
        <f>157</f>
        <v>157</v>
      </c>
      <c r="G4" s="14">
        <f>2057.52</f>
        <v>2057.52</v>
      </c>
    </row>
    <row r="5" ht="17" customHeight="1" spans="2:7">
      <c r="B5" s="13" t="s">
        <v>10</v>
      </c>
      <c r="C5" s="14">
        <f>7.87</f>
        <v>7.87</v>
      </c>
      <c r="D5" s="14">
        <f>1.91</f>
        <v>1.91</v>
      </c>
      <c r="E5" s="14">
        <f>0.02</f>
        <v>0.02</v>
      </c>
      <c r="F5" s="14">
        <f>0.49</f>
        <v>0.49</v>
      </c>
      <c r="G5" s="14">
        <f>5.45</f>
        <v>5.45</v>
      </c>
    </row>
    <row r="6" ht="17" customHeight="1" spans="2:7">
      <c r="B6" s="13" t="s">
        <v>11</v>
      </c>
      <c r="C6" s="14">
        <f>774.2</f>
        <v>774.2</v>
      </c>
      <c r="D6" s="14">
        <f>93.44</f>
        <v>93.44</v>
      </c>
      <c r="E6" s="14">
        <f>528.44</f>
        <v>528.44</v>
      </c>
      <c r="F6" s="14">
        <f>8.29</f>
        <v>8.29</v>
      </c>
      <c r="G6" s="14">
        <f>144.03</f>
        <v>144.03</v>
      </c>
    </row>
    <row r="7" ht="17" customHeight="1" spans="2:7">
      <c r="B7" s="13" t="s">
        <v>12</v>
      </c>
      <c r="C7" s="14">
        <f>198.09</f>
        <v>198.09</v>
      </c>
      <c r="D7" s="14">
        <f>28.3</f>
        <v>28.3</v>
      </c>
      <c r="E7" s="14">
        <f>146.68</f>
        <v>146.68</v>
      </c>
      <c r="F7" s="14">
        <f>1.95</f>
        <v>1.95</v>
      </c>
      <c r="G7" s="14">
        <f>21.15</f>
        <v>21.15</v>
      </c>
    </row>
    <row r="8" ht="17" customHeight="1" spans="2:7">
      <c r="B8" s="13" t="s">
        <v>13</v>
      </c>
      <c r="C8" s="14">
        <f>565.85</f>
        <v>565.85</v>
      </c>
      <c r="D8" s="14">
        <f>96.87</f>
        <v>96.87</v>
      </c>
      <c r="E8" s="14">
        <f>382.96</f>
        <v>382.96</v>
      </c>
      <c r="F8" s="14">
        <f>5.04</f>
        <v>5.04</v>
      </c>
      <c r="G8" s="14">
        <f>80.98</f>
        <v>80.98</v>
      </c>
    </row>
    <row r="9" ht="17" customHeight="1" spans="2:7">
      <c r="B9" s="13" t="s">
        <v>14</v>
      </c>
      <c r="C9" s="14">
        <f>280.48</f>
        <v>280.48</v>
      </c>
      <c r="D9" s="14">
        <f>47.43</f>
        <v>47.43</v>
      </c>
      <c r="E9" s="14">
        <f>183.36</f>
        <v>183.36</v>
      </c>
      <c r="F9" s="14">
        <f>2.49</f>
        <v>2.49</v>
      </c>
      <c r="G9" s="14">
        <f>47.21</f>
        <v>47.21</v>
      </c>
    </row>
    <row r="10" ht="17" customHeight="1" spans="2:7">
      <c r="B10" s="13" t="s">
        <v>15</v>
      </c>
      <c r="C10" s="14">
        <f>128.41</f>
        <v>128.41</v>
      </c>
      <c r="D10" s="14">
        <f>15.31</f>
        <v>15.31</v>
      </c>
      <c r="E10" s="14">
        <f>98.96</f>
        <v>98.96</v>
      </c>
      <c r="F10" s="14">
        <f>0.87</f>
        <v>0.87</v>
      </c>
      <c r="G10" s="14">
        <f>13.28</f>
        <v>13.28</v>
      </c>
    </row>
    <row r="11" ht="17" customHeight="1" spans="2:7">
      <c r="B11" s="13" t="s">
        <v>16</v>
      </c>
      <c r="C11" s="14">
        <f>604.27</f>
        <v>604.27</v>
      </c>
      <c r="D11" s="14">
        <f>127.41</f>
        <v>127.41</v>
      </c>
      <c r="E11" s="14">
        <f>377.76</f>
        <v>377.76</v>
      </c>
      <c r="F11" s="14">
        <f>9.69</f>
        <v>9.69</v>
      </c>
      <c r="G11" s="14">
        <f>89.4</f>
        <v>89.4</v>
      </c>
    </row>
    <row r="12" ht="17" customHeight="1" spans="2:7">
      <c r="B12" s="13" t="s">
        <v>17</v>
      </c>
      <c r="C12" s="14">
        <f>1466.26</f>
        <v>1466.26</v>
      </c>
      <c r="D12" s="14">
        <f>210.32</f>
        <v>210.32</v>
      </c>
      <c r="E12" s="14">
        <f>1082.69</f>
        <v>1082.69</v>
      </c>
      <c r="F12" s="14">
        <f>12.79</f>
        <v>12.79</v>
      </c>
      <c r="G12" s="14">
        <f>160.45</f>
        <v>160.45</v>
      </c>
    </row>
    <row r="13" ht="17" customHeight="1" spans="2:7">
      <c r="B13" s="13" t="s">
        <v>18</v>
      </c>
      <c r="C13" s="14">
        <f>817.6</f>
        <v>817.6</v>
      </c>
      <c r="D13" s="14">
        <f>138.63</f>
        <v>138.63</v>
      </c>
      <c r="E13" s="14">
        <f>576.9</f>
        <v>576.9</v>
      </c>
      <c r="F13" s="14">
        <f>9.15</f>
        <v>9.15</v>
      </c>
      <c r="G13" s="14">
        <f>92.92</f>
        <v>92.92</v>
      </c>
    </row>
    <row r="14" ht="17" customHeight="1" spans="2:7">
      <c r="B14" s="13" t="s">
        <v>19</v>
      </c>
      <c r="C14" s="14">
        <f>112.24</f>
        <v>112.24</v>
      </c>
      <c r="D14" s="14">
        <f>31.43</f>
        <v>31.43</v>
      </c>
      <c r="E14" s="14">
        <f>68.61</f>
        <v>68.61</v>
      </c>
      <c r="F14" s="14">
        <f>1.37</f>
        <v>1.37</v>
      </c>
      <c r="G14" s="14">
        <f>10.82</f>
        <v>10.82</v>
      </c>
    </row>
    <row r="15" ht="17" customHeight="1" spans="2:7">
      <c r="B15" s="13" t="s">
        <v>20</v>
      </c>
      <c r="C15" s="14">
        <f>354.85</f>
        <v>354.85</v>
      </c>
      <c r="D15" s="14">
        <f>47.54</f>
        <v>47.54</v>
      </c>
      <c r="E15" s="14">
        <f>241.35</f>
        <v>241.35</v>
      </c>
      <c r="F15" s="14">
        <f>3.55</f>
        <v>3.55</v>
      </c>
      <c r="G15" s="14">
        <f>62.41</f>
        <v>62.41</v>
      </c>
    </row>
    <row r="16" ht="17" customHeight="1" spans="2:7">
      <c r="B16" s="13" t="s">
        <v>21</v>
      </c>
      <c r="C16" s="14">
        <f>77.78</f>
        <v>77.78</v>
      </c>
      <c r="D16" s="14">
        <f>14.12</f>
        <v>14.12</v>
      </c>
      <c r="E16" s="14">
        <f>55.35</f>
        <v>55.35</v>
      </c>
      <c r="F16" s="14">
        <f>0.79</f>
        <v>0.79</v>
      </c>
      <c r="G16" s="14">
        <f>7.52</f>
        <v>7.52</v>
      </c>
    </row>
    <row r="17" ht="17" customHeight="1" spans="2:7">
      <c r="B17" s="13" t="s">
        <v>22</v>
      </c>
      <c r="C17" s="14">
        <f>802.04</f>
        <v>802.04</v>
      </c>
      <c r="D17" s="14">
        <f>132.39</f>
        <v>132.39</v>
      </c>
      <c r="E17" s="14">
        <f>543.08</f>
        <v>543.08</v>
      </c>
      <c r="F17" s="14">
        <f>8.36</f>
        <v>8.36</v>
      </c>
      <c r="G17" s="14">
        <f>118.2</f>
        <v>118.2</v>
      </c>
    </row>
    <row r="18" ht="17" customHeight="1" spans="2:7">
      <c r="B18" s="13" t="s">
        <v>23</v>
      </c>
      <c r="C18" s="14">
        <f>135.4</f>
        <v>135.4</v>
      </c>
      <c r="D18" s="14">
        <f>25.6</f>
        <v>25.6</v>
      </c>
      <c r="E18" s="14">
        <f>87.62</f>
        <v>87.62</v>
      </c>
      <c r="F18" s="14">
        <f>1.5</f>
        <v>1.5</v>
      </c>
      <c r="G18" s="14">
        <f>20.67</f>
        <v>20.67</v>
      </c>
    </row>
    <row r="19" ht="17" customHeight="1" spans="2:7">
      <c r="B19" s="13" t="s">
        <v>24</v>
      </c>
      <c r="C19" s="14">
        <f>1268.7</f>
        <v>1268.7</v>
      </c>
      <c r="D19" s="14">
        <f>197.89</f>
        <v>197.89</v>
      </c>
      <c r="E19" s="14">
        <f>851.98</f>
        <v>851.98</v>
      </c>
      <c r="F19" s="14">
        <f>16.19</f>
        <v>16.19</v>
      </c>
      <c r="G19" s="14">
        <f>202.63</f>
        <v>202.63</v>
      </c>
    </row>
    <row r="20" ht="17" customHeight="1" spans="2:7">
      <c r="B20" s="13" t="s">
        <v>25</v>
      </c>
      <c r="C20" s="14">
        <f>378.67</f>
        <v>378.67</v>
      </c>
      <c r="D20" s="14">
        <f>71.09</f>
        <v>71.09</v>
      </c>
      <c r="E20" s="14">
        <f>230.57</f>
        <v>230.57</v>
      </c>
      <c r="F20" s="14">
        <f>7.1</f>
        <v>7.1</v>
      </c>
      <c r="G20" s="14">
        <f>69.91</f>
        <v>69.91</v>
      </c>
    </row>
    <row r="21" ht="17" customHeight="1" spans="2:7">
      <c r="B21" s="13" t="s">
        <v>26</v>
      </c>
      <c r="C21" s="14">
        <f>53.87</f>
        <v>53.87</v>
      </c>
      <c r="D21" s="14">
        <f>15.64</f>
        <v>15.64</v>
      </c>
      <c r="E21" s="14">
        <f>33.57</f>
        <v>33.57</v>
      </c>
      <c r="F21" s="14">
        <f>0.73</f>
        <v>0.73</v>
      </c>
      <c r="G21" s="14">
        <f>3.93</f>
        <v>3.93</v>
      </c>
    </row>
    <row r="22" ht="17" customHeight="1" spans="2:7">
      <c r="B22" s="13" t="s">
        <v>27</v>
      </c>
      <c r="C22" s="14">
        <f>337.87</f>
        <v>337.87</v>
      </c>
      <c r="D22" s="14">
        <f>39.68</f>
        <v>39.68</v>
      </c>
      <c r="E22" s="14">
        <f>246.91</f>
        <v>246.91</v>
      </c>
      <c r="F22" s="14">
        <f>3.59</f>
        <v>3.59</v>
      </c>
      <c r="G22" s="14">
        <f>47.69</f>
        <v>47.69</v>
      </c>
    </row>
    <row r="23" ht="17" customHeight="1" spans="2:7">
      <c r="B23" s="13" t="s">
        <v>28</v>
      </c>
      <c r="C23" s="14">
        <f>192.24</f>
        <v>192.24</v>
      </c>
      <c r="D23" s="14">
        <f>28.88</f>
        <v>28.88</v>
      </c>
      <c r="E23" s="14">
        <f>132.18</f>
        <v>132.18</v>
      </c>
      <c r="F23" s="14">
        <f>2.15</f>
        <v>2.15</v>
      </c>
      <c r="G23" s="14">
        <f>29.03</f>
        <v>29.03</v>
      </c>
    </row>
    <row r="24" ht="17" customHeight="1" spans="2:7">
      <c r="B24" s="13" t="s">
        <v>29</v>
      </c>
      <c r="C24" s="14">
        <f>258.98</f>
        <v>258.98</v>
      </c>
      <c r="D24" s="14">
        <f>26.65</f>
        <v>26.65</v>
      </c>
      <c r="E24" s="14">
        <f>186.49</f>
        <v>186.49</v>
      </c>
      <c r="F24" s="14">
        <f>2.26</f>
        <v>2.26</v>
      </c>
      <c r="G24" s="14">
        <f>43.59</f>
        <v>43.59</v>
      </c>
    </row>
    <row r="25" ht="17" customHeight="1" spans="2:7">
      <c r="B25" s="13" t="s">
        <v>30</v>
      </c>
      <c r="C25" s="14">
        <f>433.3</f>
        <v>433.3</v>
      </c>
      <c r="D25" s="14">
        <f>85.8</f>
        <v>85.8</v>
      </c>
      <c r="E25" s="14">
        <f>272.15</f>
        <v>272.15</v>
      </c>
      <c r="F25" s="14">
        <f>5.66</f>
        <v>5.66</v>
      </c>
      <c r="G25" s="14">
        <f>69.7</f>
        <v>69.7</v>
      </c>
    </row>
    <row r="26" ht="17" customHeight="1" spans="2:7">
      <c r="B26" s="13" t="s">
        <v>31</v>
      </c>
      <c r="C26" s="14">
        <f>288.19</f>
        <v>288.19</v>
      </c>
      <c r="D26" s="14">
        <f>49.63</f>
        <v>49.63</v>
      </c>
      <c r="E26" s="14">
        <f>198.52</f>
        <v>198.52</v>
      </c>
      <c r="F26" s="14">
        <f>2.71</f>
        <v>2.71</v>
      </c>
      <c r="G26" s="14">
        <f>37.32</f>
        <v>37.32</v>
      </c>
    </row>
    <row r="27" ht="17" customHeight="1" spans="2:7">
      <c r="B27" s="13" t="s">
        <v>32</v>
      </c>
      <c r="C27" s="14">
        <f>696.76</f>
        <v>696.76</v>
      </c>
      <c r="D27" s="14">
        <f>135.47</f>
        <v>135.47</v>
      </c>
      <c r="E27" s="14">
        <f>473.34</f>
        <v>473.34</v>
      </c>
      <c r="F27" s="14">
        <f>6.03</f>
        <v>6.03</v>
      </c>
      <c r="G27" s="14">
        <f>81.91</f>
        <v>81.91</v>
      </c>
    </row>
    <row r="28" ht="17" customHeight="1" spans="2:7">
      <c r="B28" s="13" t="s">
        <v>33</v>
      </c>
      <c r="C28" s="14">
        <f>649.08</f>
        <v>649.08</v>
      </c>
      <c r="D28" s="14">
        <f>82.48</f>
        <v>82.48</v>
      </c>
      <c r="E28" s="14">
        <f>460</f>
        <v>460</v>
      </c>
      <c r="F28" s="14">
        <f>6.65</f>
        <v>6.65</v>
      </c>
      <c r="G28" s="14">
        <f>99.95</f>
        <v>99.95</v>
      </c>
    </row>
    <row r="29" ht="17" customHeight="1" spans="2:7">
      <c r="B29" s="13" t="s">
        <v>34</v>
      </c>
      <c r="C29" s="14">
        <f>451.22</f>
        <v>451.22</v>
      </c>
      <c r="D29" s="14">
        <f>71.9</f>
        <v>71.9</v>
      </c>
      <c r="E29" s="14">
        <f>310.38</f>
        <v>310.38</v>
      </c>
      <c r="F29" s="14">
        <f>4.75</f>
        <v>4.75</v>
      </c>
      <c r="G29" s="14">
        <f>64.18</f>
        <v>64.18</v>
      </c>
    </row>
    <row r="30" ht="17" customHeight="1" spans="2:7">
      <c r="B30" s="13" t="s">
        <v>35</v>
      </c>
      <c r="C30" s="14">
        <f>369.69</f>
        <v>369.69</v>
      </c>
      <c r="D30" s="14">
        <f>41.05</f>
        <v>41.05</v>
      </c>
      <c r="E30" s="14">
        <f>241.93</f>
        <v>241.93</v>
      </c>
      <c r="F30" s="14">
        <f>3</f>
        <v>3</v>
      </c>
      <c r="G30" s="14">
        <f>83.7</f>
        <v>83.7</v>
      </c>
    </row>
    <row r="31" ht="17" customHeight="1" spans="2:7">
      <c r="B31" s="13" t="s">
        <v>36</v>
      </c>
      <c r="C31" s="14">
        <f>739.7</f>
        <v>739.7</v>
      </c>
      <c r="D31" s="14">
        <f>103.3</f>
        <v>103.3</v>
      </c>
      <c r="E31" s="14">
        <f>515.86</f>
        <v>515.86</v>
      </c>
      <c r="F31" s="14">
        <f>8.92</f>
        <v>8.92</v>
      </c>
      <c r="G31" s="14">
        <f>111.62</f>
        <v>111.62</v>
      </c>
    </row>
    <row r="32" ht="17" customHeight="1" spans="2:7">
      <c r="B32" s="13" t="s">
        <v>37</v>
      </c>
      <c r="C32" s="14">
        <f>143.44</f>
        <v>143.44</v>
      </c>
      <c r="D32" s="14">
        <f>48.01</f>
        <v>48.01</v>
      </c>
      <c r="E32" s="14">
        <f>70.66</f>
        <v>70.66</v>
      </c>
      <c r="F32" s="14">
        <f>1.98</f>
        <v>1.98</v>
      </c>
      <c r="G32" s="14">
        <f>22.79</f>
        <v>22.79</v>
      </c>
    </row>
    <row r="33" ht="17" customHeight="1" spans="2:7">
      <c r="B33" s="13" t="s">
        <v>38</v>
      </c>
      <c r="C33" s="14">
        <f>210.96</f>
        <v>210.96</v>
      </c>
      <c r="D33" s="14">
        <f>48.92</f>
        <v>48.92</v>
      </c>
      <c r="E33" s="14">
        <f>111.58</f>
        <v>111.58</v>
      </c>
      <c r="F33" s="14">
        <f>3.72</f>
        <v>3.72</v>
      </c>
      <c r="G33" s="14">
        <f>46.73</f>
        <v>46.73</v>
      </c>
    </row>
    <row r="34" ht="17" customHeight="1" spans="2:7">
      <c r="B34" s="13" t="s">
        <v>39</v>
      </c>
      <c r="C34" s="14">
        <f>10.13</f>
        <v>10.13</v>
      </c>
      <c r="D34" s="14">
        <f>6.58</f>
        <v>6.58</v>
      </c>
      <c r="E34" s="14">
        <f>2.84</f>
        <v>2.84</v>
      </c>
      <c r="F34" s="14">
        <f>0.36</f>
        <v>0.36</v>
      </c>
      <c r="G34" s="14">
        <f>0.35</f>
        <v>0.35</v>
      </c>
    </row>
    <row r="35" ht="17" customHeight="1" spans="2:7">
      <c r="B35" s="13" t="s">
        <v>40</v>
      </c>
      <c r="C35" s="14">
        <f>338.8</f>
        <v>338.8</v>
      </c>
      <c r="D35" s="14">
        <f>45.66</f>
        <v>45.66</v>
      </c>
      <c r="E35" s="14">
        <f>245.72</f>
        <v>245.72</v>
      </c>
      <c r="F35" s="14">
        <f>3.04</f>
        <v>3.04</v>
      </c>
      <c r="G35" s="14">
        <f>44.38</f>
        <v>44.38</v>
      </c>
    </row>
    <row r="36" ht="17" customHeight="1" spans="2:7">
      <c r="B36" s="13" t="s">
        <v>41</v>
      </c>
      <c r="C36" s="14">
        <f>169.37</f>
        <v>169.37</v>
      </c>
      <c r="D36" s="14">
        <f>24.11</f>
        <v>24.11</v>
      </c>
      <c r="E36" s="14">
        <f>117.96</f>
        <v>117.96</v>
      </c>
      <c r="F36" s="14">
        <f>1.96</f>
        <v>1.96</v>
      </c>
      <c r="G36" s="14">
        <f>25.35</f>
        <v>25.35</v>
      </c>
    </row>
    <row r="37" ht="17" customHeight="1" spans="2:7">
      <c r="B37" s="13" t="s">
        <v>42</v>
      </c>
      <c r="C37" s="14">
        <f>33.77</f>
        <v>33.77</v>
      </c>
      <c r="D37" s="14">
        <f>8.33</f>
        <v>8.33</v>
      </c>
      <c r="E37" s="14">
        <f>19.61</f>
        <v>19.61</v>
      </c>
      <c r="F37" s="14">
        <f>0.41</f>
        <v>0.41</v>
      </c>
      <c r="G37" s="14">
        <f>5.43</f>
        <v>5.43</v>
      </c>
    </row>
    <row r="38" ht="17" customHeight="1" spans="2:7">
      <c r="B38" s="13" t="s">
        <v>43</v>
      </c>
      <c r="C38" s="14">
        <f>69.72</f>
        <v>69.72</v>
      </c>
      <c r="D38" s="14">
        <f>12.29</f>
        <v>12.29</v>
      </c>
      <c r="E38" s="14">
        <f>50.41</f>
        <v>50.41</v>
      </c>
      <c r="F38" s="14">
        <f>0.94</f>
        <v>0.94</v>
      </c>
      <c r="G38" s="14">
        <f>6.08</f>
        <v>6.08</v>
      </c>
    </row>
    <row r="39" ht="17" customHeight="1" spans="2:7">
      <c r="B39" s="13" t="s">
        <v>44</v>
      </c>
      <c r="C39" s="14">
        <f>204.93</f>
        <v>204.93</v>
      </c>
      <c r="D39" s="14">
        <f>38.16</f>
        <v>38.16</v>
      </c>
      <c r="E39" s="14">
        <f>131.87</f>
        <v>131.87</v>
      </c>
      <c r="F39" s="14">
        <f>2.87</f>
        <v>2.87</v>
      </c>
      <c r="G39" s="14">
        <f>32.02</f>
        <v>32.02</v>
      </c>
    </row>
    <row r="40" ht="17" customHeight="1" spans="2:7">
      <c r="B40" s="13" t="s">
        <v>45</v>
      </c>
      <c r="C40" s="14">
        <f>186.21</f>
        <v>186.21</v>
      </c>
      <c r="D40" s="14">
        <f>32.8</f>
        <v>32.8</v>
      </c>
      <c r="E40" s="14">
        <f>128.3</f>
        <v>128.3</v>
      </c>
      <c r="F40" s="14">
        <f>2.14</f>
        <v>2.14</v>
      </c>
      <c r="G40" s="14">
        <f>22.97</f>
        <v>22.97</v>
      </c>
    </row>
    <row r="41" ht="17" customHeight="1" spans="2:7">
      <c r="B41" s="13" t="s">
        <v>46</v>
      </c>
      <c r="C41" s="14">
        <f>234.79</f>
        <v>234.79</v>
      </c>
      <c r="D41" s="14">
        <f>45.16</f>
        <v>45.16</v>
      </c>
      <c r="E41" s="14">
        <f>154.37</f>
        <v>154.37</v>
      </c>
      <c r="F41" s="14">
        <f>3.51</f>
        <v>3.51</v>
      </c>
      <c r="G41" s="14">
        <f>31.75</f>
        <v>31.75</v>
      </c>
    </row>
    <row r="42" ht="7" customHeight="1" spans="2:7">
      <c r="B42" s="15"/>
      <c r="C42" s="16"/>
      <c r="D42" s="16"/>
      <c r="E42" s="16"/>
      <c r="F42" s="16"/>
      <c r="G42" s="16"/>
    </row>
    <row r="43" s="2" customFormat="1" ht="40" customHeight="1" spans="2:7">
      <c r="B43" s="17" t="s">
        <v>47</v>
      </c>
      <c r="C43" s="17"/>
      <c r="D43" s="17"/>
      <c r="E43" s="17"/>
      <c r="F43" s="17"/>
      <c r="G43" s="17"/>
    </row>
    <row r="44" s="2" customFormat="1" ht="22" customHeight="1" spans="1:7">
      <c r="A44" s="18"/>
      <c r="B44" s="17" t="s">
        <v>48</v>
      </c>
      <c r="C44" s="17"/>
      <c r="D44" s="17"/>
      <c r="E44" s="17"/>
      <c r="F44" s="17"/>
      <c r="G44" s="17"/>
    </row>
    <row r="45" s="2" customFormat="1" ht="25" customHeight="1" spans="1:7">
      <c r="A45" s="18"/>
      <c r="B45" s="19" t="s">
        <v>49</v>
      </c>
      <c r="C45" s="19"/>
      <c r="D45" s="19"/>
      <c r="E45" s="19"/>
      <c r="F45" s="19"/>
      <c r="G45" s="19"/>
    </row>
    <row r="46" ht="18" customHeight="1" spans="2:7">
      <c r="B46" s="17" t="s">
        <v>50</v>
      </c>
      <c r="C46" s="17"/>
      <c r="D46" s="17"/>
      <c r="E46" s="17"/>
      <c r="F46" s="17"/>
      <c r="G46" s="17"/>
    </row>
    <row r="47" ht="33" customHeight="1" spans="2:7">
      <c r="B47" s="17" t="s">
        <v>51</v>
      </c>
      <c r="C47" s="17"/>
      <c r="D47" s="17"/>
      <c r="E47" s="17"/>
      <c r="F47" s="17"/>
      <c r="G47" s="17"/>
    </row>
    <row r="48" spans="2:7">
      <c r="B48" s="20"/>
      <c r="C48" s="11"/>
      <c r="D48" s="11"/>
      <c r="E48" s="11"/>
      <c r="F48" s="11"/>
      <c r="G48" s="11"/>
    </row>
    <row r="49" spans="2:7">
      <c r="B49" s="20"/>
      <c r="C49" s="11"/>
      <c r="D49" s="11"/>
      <c r="E49" s="11"/>
      <c r="F49" s="11"/>
      <c r="G49" s="11"/>
    </row>
    <row r="50" spans="2:7">
      <c r="B50" s="20"/>
      <c r="C50" s="11"/>
      <c r="D50" s="11"/>
      <c r="E50" s="11"/>
      <c r="F50" s="11"/>
      <c r="G50" s="11"/>
    </row>
    <row r="51" spans="2:7">
      <c r="B51" s="20"/>
      <c r="C51" s="11"/>
      <c r="D51" s="11"/>
      <c r="E51" s="11"/>
      <c r="F51" s="11"/>
      <c r="G51" s="11"/>
    </row>
    <row r="52" spans="2:7">
      <c r="B52" s="20"/>
      <c r="C52" s="11"/>
      <c r="D52" s="11"/>
      <c r="E52" s="11"/>
      <c r="F52" s="11"/>
      <c r="G52" s="11"/>
    </row>
    <row r="53" spans="2:7">
      <c r="B53" s="20"/>
      <c r="C53" s="11"/>
      <c r="D53" s="11"/>
      <c r="E53" s="11"/>
      <c r="F53" s="11"/>
      <c r="G53" s="11"/>
    </row>
    <row r="54" spans="2:7">
      <c r="B54" s="20"/>
      <c r="C54" s="11"/>
      <c r="D54" s="11"/>
      <c r="E54" s="11"/>
      <c r="F54" s="11"/>
      <c r="G54" s="11"/>
    </row>
    <row r="55" spans="2:7">
      <c r="B55" s="20"/>
      <c r="C55" s="11"/>
      <c r="D55" s="11"/>
      <c r="E55" s="11"/>
      <c r="F55" s="11"/>
      <c r="G55" s="11"/>
    </row>
    <row r="56" spans="2:7">
      <c r="B56" s="20"/>
      <c r="C56" s="11"/>
      <c r="D56" s="11"/>
      <c r="E56" s="11"/>
      <c r="F56" s="11"/>
      <c r="G56" s="11"/>
    </row>
    <row r="57" spans="2:7">
      <c r="B57" s="20"/>
      <c r="C57" s="11"/>
      <c r="D57" s="11"/>
      <c r="E57" s="11"/>
      <c r="F57" s="11"/>
      <c r="G57" s="11"/>
    </row>
  </sheetData>
  <mergeCells count="6">
    <mergeCell ref="B1:G1"/>
    <mergeCell ref="F2:G2"/>
    <mergeCell ref="B43:G43"/>
    <mergeCell ref="B44:G44"/>
    <mergeCell ref="B46:G46"/>
    <mergeCell ref="B47:G47"/>
  </mergeCells>
  <printOptions horizontalCentered="1"/>
  <pageMargins left="0" right="0" top="0.789583333333333" bottom="0" header="0.509722222222222" footer="0.509722222222222"/>
  <pageSetup paperSize="9" scale="90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2023-03-29T08:04:41Z</dcterms:created>
  <dcterms:modified xsi:type="dcterms:W3CDTF">2023-03-29T08:04:52Z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