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4" windowHeight="9972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<sst xmlns="http://schemas.openxmlformats.org/spreadsheetml/2006/main" count="28">
  <si>
    <t xml:space="preserve"> </t>
  </si>
  <si>
    <t>2021年11月人身险公司经营情况表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</si>
  <si>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</si>
  <si>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</si>
  <si>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</si>
  <si>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</si>
  <si>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</si>
  <si>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</si>
  <si>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</si>
  <si>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</si>
  <si>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</si>
  <si>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</si>
  <si>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</si>
  <si>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</si>
  <si>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</si>
  <si>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</si>
  <si>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</si>
  <si>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</si>
  <si>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  2、原保险保费收入为按《企业会计准则（2006）》设置的统计指标，指保险企业确认的原保险合同保费收入。</t>
  </si>
  <si>
    <t xml:space="preserve">     3、原保险赔付支出为按《企业会计准则（2006）》设置的统计指标，指保险企业支付的原保险合同赔付款项。</t>
  </si>
  <si>
    <t xml:space="preserve">     4、原保险保费收入、原保险赔付支出、新增保险金额、新增保单件数为本年累计数，总资产为月末数据。</t>
  </si>
  <si>
    <t xml:space="preserve"> 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</si>
  <si>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</si>
  <si>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</si>
  <si>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</si>
  <si>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>保费收入同比</t>
  </si>
  <si>
    <t>保险金额同比</t>
  </si>
  <si>
    <t>赔付支出同比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</si>
</sst>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_ "/>
  </numFmts>
  <fonts count="28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sz val="16"/>
      <color theme="0" tint="-0.25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9"/>
      <color indexed="0"/>
      <name val="Arial"/>
      <charset val="134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2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0" borderId="0">
      <alignment horizontal="left" vertical="center"/>
    </xf>
    <xf numFmtId="0" fontId="27" fillId="2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2" fillId="0" borderId="0"/>
    <xf numFmtId="0" fontId="9" fillId="0" borderId="0">
      <alignment horizontal="left" vertical="center"/>
    </xf>
  </cellStyleXfs>
  <cellXfs count="17">
    <xf numFmtId="0" fontId="0" fillId="0" borderId="0" xfId="0">
      <alignment vertical="center"/>
    </xf>
    <xf numFmtId="0" fontId="1" fillId="0" borderId="0" xfId="31" applyFont="1" applyFill="1" applyAlignment="1">
      <alignment horizontal="left" vertical="center"/>
    </xf>
    <xf numFmtId="0" fontId="2" fillId="0" borderId="0" xfId="31" applyFont="1" applyFill="1" applyAlignment="1">
      <alignment horizontal="left" vertical="center"/>
    </xf>
    <xf numFmtId="0" fontId="2" fillId="0" borderId="0" xfId="31" applyFont="1" applyFill="1" applyAlignment="1">
      <alignment horizontal="left" vertical="center" wrapText="1"/>
    </xf>
    <xf numFmtId="0" fontId="1" fillId="0" borderId="0" xfId="51" applyFont="1" applyFill="1" applyAlignment="1">
      <alignment horizontal="left" vertical="center"/>
    </xf>
    <xf numFmtId="0" fontId="3" fillId="0" borderId="0" xfId="51" applyFont="1" applyFill="1" applyAlignment="1">
      <alignment horizontal="center" vertical="center"/>
    </xf>
    <xf numFmtId="0" fontId="4" fillId="0" borderId="0" xfId="51" applyFont="1" applyFill="1" applyAlignment="1">
      <alignment horizontal="right" vertical="center"/>
    </xf>
    <xf numFmtId="0" fontId="4" fillId="0" borderId="1" xfId="50" applyFont="1" applyFill="1" applyBorder="1" applyAlignment="1">
      <alignment horizontal="right" vertical="center" wrapText="1"/>
    </xf>
    <xf numFmtId="0" fontId="3" fillId="0" borderId="2" xfId="51" applyFont="1" applyFill="1" applyBorder="1" applyAlignment="1">
      <alignment horizontal="center" vertical="center"/>
    </xf>
    <xf numFmtId="0" fontId="1" fillId="0" borderId="2" xfId="51" applyFont="1" applyFill="1" applyBorder="1" applyAlignment="1">
      <alignment horizontal="left" vertical="center"/>
    </xf>
    <xf numFmtId="176" fontId="5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6" fillId="0" borderId="0" xfId="50" applyFont="1" applyFill="1" applyAlignment="1">
      <alignment horizontal="left" vertical="center" wrapText="1"/>
    </xf>
    <xf numFmtId="0" fontId="6" fillId="0" borderId="0" xfId="50" applyFont="1" applyFill="1" applyAlignment="1">
      <alignment horizontal="left" vertical="center"/>
    </xf>
    <xf numFmtId="0" fontId="6" fillId="0" borderId="0" xfId="50" applyFont="1" applyFill="1" applyAlignment="1">
      <alignment vertical="center"/>
    </xf>
    <xf numFmtId="0" fontId="1" fillId="0" borderId="0" xfId="31" applyFont="1" applyFill="1" applyAlignment="1">
      <alignment horizontal="left" vertical="center" wrapText="1"/>
    </xf>
    <xf numFmtId="10" fontId="2" fillId="0" borderId="0" xfId="31" applyNumberFormat="1" applyFont="1" applyFill="1" applyAlignment="1">
      <alignment horizontal="lef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3776285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="70" zoomScaleNormal="100" zoomScaleSheetLayoutView="70" workbookViewId="0">
      <selection activeCell="E27" sqref="E27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f>29203.38</f>
        <v>29203.38</v>
      </c>
    </row>
    <row r="6" customHeight="1" spans="2:3">
      <c r="B6" s="9" t="s">
        <v>7</v>
      </c>
      <c r="C6" s="11">
        <f>22050.47</f>
        <v>22050.47</v>
      </c>
    </row>
    <row r="7" customHeight="1" spans="2:3">
      <c r="B7" s="9" t="s">
        <v>8</v>
      </c>
      <c r="C7" s="11">
        <f>546.62</f>
        <v>546.62</v>
      </c>
    </row>
    <row r="8" customHeight="1" spans="2:3">
      <c r="B8" s="9" t="s">
        <v>9</v>
      </c>
      <c r="C8" s="11">
        <f>6606.29</f>
        <v>6606.29</v>
      </c>
    </row>
    <row r="9" customHeight="1" spans="2:3">
      <c r="B9" s="9" t="s">
        <v>10</v>
      </c>
      <c r="C9" s="11">
        <f>5681.41</f>
        <v>5681.41</v>
      </c>
    </row>
    <row r="10" customHeight="1" spans="2:3">
      <c r="B10" s="9" t="s">
        <v>11</v>
      </c>
      <c r="C10" s="11">
        <f>633.55</f>
        <v>633.55</v>
      </c>
    </row>
    <row r="11" customHeight="1" spans="2:3">
      <c r="B11" s="9" t="s">
        <v>12</v>
      </c>
      <c r="C11" s="11">
        <f>6287.62</f>
        <v>6287.62</v>
      </c>
    </row>
    <row r="12" customHeight="1" spans="2:3">
      <c r="B12" s="9" t="s">
        <v>13</v>
      </c>
      <c r="C12" s="11">
        <f>11880024.56</f>
        <v>11880024.56</v>
      </c>
    </row>
    <row r="13" customHeight="1" spans="2:3">
      <c r="B13" s="9" t="s">
        <v>7</v>
      </c>
      <c r="C13" s="11">
        <f>290207.98</f>
        <v>290207.98</v>
      </c>
    </row>
    <row r="14" customHeight="1" spans="2:3">
      <c r="B14" s="9" t="s">
        <v>8</v>
      </c>
      <c r="C14" s="11">
        <f>3101267.15</f>
        <v>3101267.15</v>
      </c>
    </row>
    <row r="15" customHeight="1" spans="2:3">
      <c r="B15" s="9" t="s">
        <v>9</v>
      </c>
      <c r="C15" s="11">
        <f>8488549.43</f>
        <v>8488549.43</v>
      </c>
    </row>
    <row r="16" customHeight="1" spans="2:3">
      <c r="B16" s="9" t="s">
        <v>14</v>
      </c>
      <c r="C16" s="11">
        <f>87659.42</f>
        <v>87659.42</v>
      </c>
    </row>
    <row r="17" customHeight="1" spans="2:3">
      <c r="B17" s="9" t="s">
        <v>7</v>
      </c>
      <c r="C17" s="11">
        <f>7183.55</f>
        <v>7183.55</v>
      </c>
    </row>
    <row r="18" customHeight="1" spans="2:3">
      <c r="B18" s="9" t="s">
        <v>15</v>
      </c>
      <c r="C18" s="11">
        <f>5965.71</f>
        <v>5965.71</v>
      </c>
    </row>
    <row r="19" customHeight="1" spans="2:3">
      <c r="B19" s="9" t="s">
        <v>8</v>
      </c>
      <c r="C19" s="11">
        <f>39515.47</f>
        <v>39515.47</v>
      </c>
    </row>
    <row r="20" customHeight="1" spans="2:3">
      <c r="B20" s="9" t="s">
        <v>9</v>
      </c>
      <c r="C20" s="11">
        <f>40960.4</f>
        <v>40960.4</v>
      </c>
    </row>
    <row r="21" customHeight="1" spans="2:3">
      <c r="B21" s="9" t="s">
        <v>16</v>
      </c>
      <c r="C21" s="10">
        <f>210582.83</f>
        <v>210582.83</v>
      </c>
    </row>
    <row r="22" ht="69" customHeight="1" spans="2:3">
      <c r="B22" s="12" t="s">
        <v>17</v>
      </c>
      <c r="C22" s="12"/>
    </row>
    <row r="23" ht="53" customHeight="1" spans="2:3">
      <c r="B23" s="12" t="s">
        <v>18</v>
      </c>
      <c r="C23" s="12"/>
    </row>
    <row r="24" ht="51" customHeight="1" spans="2:3">
      <c r="B24" s="12" t="s">
        <v>19</v>
      </c>
      <c r="C24" s="12"/>
    </row>
    <row r="25" ht="54" customHeight="1" spans="2:3">
      <c r="B25" s="12" t="s">
        <v>20</v>
      </c>
      <c r="C25" s="12"/>
    </row>
    <row r="26" ht="94" customHeight="1" spans="2:3">
      <c r="B26" s="12" t="s">
        <v>21</v>
      </c>
      <c r="C26" s="12"/>
    </row>
    <row r="27" ht="90" customHeight="1" spans="2:3">
      <c r="B27" s="12" t="s">
        <v>22</v>
      </c>
      <c r="C27" s="12"/>
    </row>
    <row r="28" ht="25" customHeight="1" spans="2:3">
      <c r="B28" s="13" t="s">
        <v>23</v>
      </c>
      <c r="C28" s="14"/>
    </row>
    <row r="29" ht="45" customHeight="1" spans="2:3">
      <c r="B29" s="12" t="s">
        <v>24</v>
      </c>
      <c r="C29" s="12"/>
    </row>
    <row r="30" ht="58" customHeight="1" spans="2:8">
      <c r="B30" s="15" t="str">
        <f>"    9、按可比口径，行业汇总原保险保费收入同比增长"&amp;F30&amp;"，保险金额增长"&amp;F31&amp;"，赔付支出增长"&amp;F32&amp;""</f>
        <v>    9、按可比口径，行业汇总原保险保费收入同比增长4.55%，保险金额增长9.34%，赔付支出增长17.27%</v>
      </c>
      <c r="C30" s="15"/>
      <c r="E30" s="2" t="s">
        <v>25</v>
      </c>
      <c r="F30" s="16" t="str">
        <f t="shared" ref="F30:F32" si="0">TEXT(G30/H30-1,"0.00%")</f>
        <v>4.55%</v>
      </c>
      <c r="G30" s="3">
        <f>29203.38</f>
        <v>29203.38</v>
      </c>
      <c r="H30" s="3">
        <f>27931.95</f>
        <v>27931.95</v>
      </c>
    </row>
    <row r="31" ht="96" customHeight="1" spans="5:8">
      <c r="E31" s="2" t="s">
        <v>26</v>
      </c>
      <c r="F31" s="16" t="str">
        <f t="shared" si="0"/>
        <v>9.34%</v>
      </c>
      <c r="G31" s="3">
        <f>11880024.56</f>
        <v>11880024.56</v>
      </c>
      <c r="H31" s="3">
        <f>10864724.69</f>
        <v>10864724.69</v>
      </c>
    </row>
    <row r="32" customHeight="1" spans="5:8">
      <c r="E32" s="2" t="s">
        <v>27</v>
      </c>
      <c r="F32" s="16" t="str">
        <f t="shared" si="0"/>
        <v>17.27%</v>
      </c>
      <c r="G32" s="3">
        <f>6287.62</f>
        <v>6287.62</v>
      </c>
      <c r="H32" s="3">
        <f>5361.71</f>
        <v>5361.71</v>
      </c>
    </row>
  </sheetData>
  <mergeCells count="9">
    <mergeCell ref="B2:C2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2021-12-27T07:45:37Z</dcterms:created>
  <dcterms:modified xsi:type="dcterms:W3CDTF">2021-12-27T07:46:05Z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