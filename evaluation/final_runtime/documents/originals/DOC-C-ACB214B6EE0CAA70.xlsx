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95" windowHeight="9612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<sst xmlns="http://schemas.openxmlformats.org/spreadsheetml/2006/main" count="31">
  <si>
    <t xml:space="preserve"> </t>
  </si>
  <si>
    <t>2022年01月财产保险公司经营情况表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</si>
  <si>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</si>
  <si>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</si>
  <si>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</si>
  <si>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</si>
  <si>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</si>
  <si>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</si>
  <si>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</si>
  <si>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</si>
  <si>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</si>
  <si>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</si>
  <si>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</si>
  <si>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</si>
  <si>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</si>
  <si>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</si>
  <si>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</si>
  <si>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</si>
  <si>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</si>
  <si>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</si>
  <si>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</si>
  <si>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</si>
  <si>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</si>
  <si>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</si>
  <si>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</si>
  <si>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</si>
  <si>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</si>
  <si>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>保费收入同比</t>
  </si>
  <si>
    <t xml:space="preserve">    5、因部分机构目前处于风险处置阶段，从2021年6月起，财产保险公司汇总数据口径暂不包含这部分机构。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</si>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</sst>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仿宋_GB2312"/>
      <charset val="134"/>
    </font>
    <font>
      <sz val="16"/>
      <color theme="0" tint="-0.25"/>
      <name val="仿宋_GB2312"/>
      <charset val="134"/>
    </font>
    <font>
      <b/>
      <sz val="18"/>
      <color theme="1"/>
      <name val="仿宋_GB2312"/>
      <charset val="134"/>
    </font>
    <font>
      <b/>
      <sz val="16"/>
      <color theme="1"/>
      <name val="仿宋_GB2312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9" fillId="22" borderId="4" applyNumberFormat="0" applyAlignment="0" applyProtection="0">
      <alignment vertical="center"/>
    </xf>
    <xf numFmtId="0" fontId="22" fillId="28" borderId="9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25" fillId="0" borderId="0"/>
  </cellStyleXfs>
  <cellXfs count="16">
    <xf numFmtId="0" fontId="0" fillId="0" borderId="0" xfId="0">
      <alignment vertical="center"/>
    </xf>
    <xf numFmtId="0" fontId="1" fillId="0" borderId="0" xfId="49" applyFont="1" applyFill="1">
      <alignment horizontal="left" vertical="center"/>
    </xf>
    <xf numFmtId="0" fontId="2" fillId="0" borderId="0" xfId="49" applyFont="1" applyFill="1">
      <alignment horizontal="left" vertical="center"/>
    </xf>
    <xf numFmtId="0" fontId="2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right" vertical="center"/>
    </xf>
    <xf numFmtId="0" fontId="1" fillId="0" borderId="0" xfId="50" applyFont="1" applyFill="1" applyBorder="1" applyAlignment="1">
      <alignment horizontal="right" wrapText="1"/>
    </xf>
    <xf numFmtId="0" fontId="4" fillId="0" borderId="1" xfId="49" applyFont="1" applyFill="1" applyBorder="1" applyAlignment="1">
      <alignment horizontal="center" vertical="center"/>
    </xf>
    <xf numFmtId="0" fontId="1" fillId="0" borderId="1" xfId="49" applyFont="1" applyFill="1" applyBorder="1">
      <alignment horizontal="left" vertical="center"/>
    </xf>
    <xf numFmtId="1" fontId="1" fillId="0" borderId="1" xfId="49" applyNumberFormat="1" applyFont="1" applyFill="1" applyBorder="1" applyAlignment="1">
      <alignment horizontal="right" vertical="center"/>
    </xf>
    <xf numFmtId="0" fontId="1" fillId="0" borderId="1" xfId="49" applyFont="1" applyFill="1" applyBorder="1" applyAlignment="1">
      <alignment horizontal="left" vertical="center"/>
    </xf>
    <xf numFmtId="0" fontId="1" fillId="0" borderId="0" xfId="50" applyFont="1" applyFill="1" applyAlignment="1">
      <alignment horizontal="left" wrapText="1"/>
    </xf>
    <xf numFmtId="0" fontId="1" fillId="0" borderId="0" xfId="50" applyFont="1" applyFill="1" applyAlignment="1">
      <alignment horizontal="left"/>
    </xf>
    <xf numFmtId="0" fontId="1" fillId="0" borderId="0" xfId="50" applyFont="1" applyFill="1" applyAlignment="1"/>
    <xf numFmtId="10" fontId="2" fillId="0" borderId="0" xfId="49" applyNumberFormat="1" applyFont="1" applyFill="1">
      <alignment horizontal="left" vertical="center"/>
    </xf>
    <xf numFmtId="0" fontId="1" fillId="0" borderId="0" xfId="49" applyFont="1" applyFill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85" zoomScaleNormal="100" zoomScaleSheetLayoutView="85" workbookViewId="0">
      <selection activeCell="F7" sqref="F7"/>
    </sheetView>
  </sheetViews>
  <sheetFormatPr defaultColWidth="9" defaultRowHeight="20.4"/>
  <cols>
    <col min="1" max="1" width="1.75" style="1" customWidth="1"/>
    <col min="2" max="2" width="49.75" style="1" customWidth="1"/>
    <col min="3" max="3" width="38.1296296296296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f>1773.91</f>
        <v>1773.91</v>
      </c>
    </row>
    <row r="6" spans="2:3">
      <c r="B6" s="8" t="s">
        <v>7</v>
      </c>
      <c r="C6" s="9">
        <f>125.82</f>
        <v>125.82</v>
      </c>
    </row>
    <row r="7" spans="2:3">
      <c r="B7" s="8" t="s">
        <v>8</v>
      </c>
      <c r="C7" s="9">
        <f>14.4</f>
        <v>14.4</v>
      </c>
    </row>
    <row r="8" spans="2:3">
      <c r="B8" s="8" t="s">
        <v>9</v>
      </c>
      <c r="C8" s="9">
        <f>827.56</f>
        <v>827.56</v>
      </c>
    </row>
    <row r="9" spans="2:3">
      <c r="B9" s="8" t="s">
        <v>10</v>
      </c>
      <c r="C9" s="9">
        <f>19.7</f>
        <v>19.7</v>
      </c>
    </row>
    <row r="10" spans="2:3">
      <c r="B10" s="8" t="s">
        <v>11</v>
      </c>
      <c r="C10" s="9">
        <f>150.27</f>
        <v>150.27</v>
      </c>
    </row>
    <row r="11" spans="2:3">
      <c r="B11" s="8" t="s">
        <v>12</v>
      </c>
      <c r="C11" s="9">
        <f>87.31</f>
        <v>87.31</v>
      </c>
    </row>
    <row r="12" spans="2:3">
      <c r="B12" s="8" t="s">
        <v>13</v>
      </c>
      <c r="C12" s="9">
        <f>100.15</f>
        <v>100.15</v>
      </c>
    </row>
    <row r="13" spans="2:3">
      <c r="B13" s="8" t="s">
        <v>14</v>
      </c>
      <c r="C13" s="9">
        <f>298.56</f>
        <v>298.56</v>
      </c>
    </row>
    <row r="14" spans="2:3">
      <c r="B14" s="8" t="s">
        <v>15</v>
      </c>
      <c r="C14" s="9">
        <f>69.23</f>
        <v>69.23</v>
      </c>
    </row>
    <row r="15" spans="2:3">
      <c r="B15" s="8" t="s">
        <v>16</v>
      </c>
      <c r="C15" s="9">
        <f>834.21</f>
        <v>834.21</v>
      </c>
    </row>
    <row r="16" spans="2:3">
      <c r="B16" s="8" t="s">
        <v>17</v>
      </c>
      <c r="C16" s="9">
        <f>13492940.91</f>
        <v>13492940.91</v>
      </c>
    </row>
    <row r="17" spans="2:3">
      <c r="B17" s="8" t="s">
        <v>18</v>
      </c>
      <c r="C17" s="9">
        <f>681557.09</f>
        <v>681557.09</v>
      </c>
    </row>
    <row r="18" spans="2:3">
      <c r="B18" s="8" t="s">
        <v>19</v>
      </c>
      <c r="C18" s="9">
        <f>5370187.81</f>
        <v>5370187.81</v>
      </c>
    </row>
    <row r="19" spans="2:3">
      <c r="B19" s="8" t="s">
        <v>13</v>
      </c>
      <c r="C19" s="9">
        <f>4766.83</f>
        <v>4766.83</v>
      </c>
    </row>
    <row r="20" spans="2:3">
      <c r="B20" s="8" t="s">
        <v>14</v>
      </c>
      <c r="C20" s="9">
        <f>1876929.48</f>
        <v>1876929.48</v>
      </c>
    </row>
    <row r="21" spans="2:3">
      <c r="B21" s="8" t="s">
        <v>15</v>
      </c>
      <c r="C21" s="9">
        <f>4607198.24</f>
        <v>4607198.24</v>
      </c>
    </row>
    <row r="22" spans="2:3">
      <c r="B22" s="8" t="s">
        <v>20</v>
      </c>
      <c r="C22" s="9">
        <f>446708.55</f>
        <v>446708.55</v>
      </c>
    </row>
    <row r="23" spans="2:3">
      <c r="B23" s="8" t="s">
        <v>18</v>
      </c>
      <c r="C23" s="9">
        <f>6271.3</f>
        <v>6271.3</v>
      </c>
    </row>
    <row r="24" spans="2:3">
      <c r="B24" s="8" t="s">
        <v>19</v>
      </c>
      <c r="C24" s="9">
        <f>112773.99</f>
        <v>112773.99</v>
      </c>
    </row>
    <row r="25" spans="2:3">
      <c r="B25" s="10" t="s">
        <v>21</v>
      </c>
      <c r="C25" s="9">
        <f>47390.61</f>
        <v>47390.61</v>
      </c>
    </row>
    <row r="26" spans="2:3">
      <c r="B26" s="8" t="s">
        <v>12</v>
      </c>
      <c r="C26" s="9">
        <f>14292.37</f>
        <v>14292.37</v>
      </c>
    </row>
    <row r="27" spans="2:3">
      <c r="B27" s="8" t="s">
        <v>14</v>
      </c>
      <c r="C27" s="9">
        <f>76728.69</f>
        <v>76728.69</v>
      </c>
    </row>
    <row r="28" spans="2:3">
      <c r="B28" s="8" t="s">
        <v>15</v>
      </c>
      <c r="C28" s="9">
        <f>40343.33</f>
        <v>40343.33</v>
      </c>
    </row>
    <row r="29" spans="2:3">
      <c r="B29" s="8" t="s">
        <v>22</v>
      </c>
      <c r="C29" s="9">
        <f>25040.16</f>
        <v>25040.16</v>
      </c>
    </row>
    <row r="30" ht="67.9" customHeight="1" spans="2:3">
      <c r="B30" s="11" t="s">
        <v>23</v>
      </c>
      <c r="C30" s="11"/>
    </row>
    <row r="31" ht="38.45" customHeight="1" spans="2:3">
      <c r="B31" s="11" t="s">
        <v>24</v>
      </c>
      <c r="C31" s="11"/>
    </row>
    <row r="32" ht="38.45" customHeight="1" spans="2:3">
      <c r="B32" s="11" t="s">
        <v>25</v>
      </c>
      <c r="C32" s="11"/>
    </row>
    <row r="33" ht="38.45" customHeight="1" spans="2:10">
      <c r="B33" s="12" t="s">
        <v>26</v>
      </c>
      <c r="C33" s="13"/>
      <c r="G33" s="2" t="s">
        <v>27</v>
      </c>
      <c r="H33" s="14" t="str">
        <f t="shared" ref="H33:H35" si="0">TEXT(I33/J33-1,"0.00%")</f>
        <v>13.45%</v>
      </c>
      <c r="I33" s="2">
        <f>1773.91</f>
        <v>1773.91</v>
      </c>
      <c r="J33" s="3">
        <f>1563.61</f>
        <v>1563.61</v>
      </c>
    </row>
    <row r="34" ht="48" customHeight="1" spans="2:10">
      <c r="B34" s="11" t="s">
        <v>28</v>
      </c>
      <c r="C34" s="11"/>
      <c r="G34" s="2" t="s">
        <v>29</v>
      </c>
      <c r="H34" s="14" t="str">
        <f t="shared" si="0"/>
        <v>29.36%</v>
      </c>
      <c r="I34" s="2">
        <f>13492940.91</f>
        <v>13492940.91</v>
      </c>
      <c r="J34" s="3">
        <f>10430875.63</f>
        <v>10430875.63</v>
      </c>
    </row>
    <row r="35" ht="49" customHeight="1" spans="2:10">
      <c r="B35" s="15" t="str">
        <f>"    6、按可比口径，行业汇总原保险保费收入同比增长"&amp;H33&amp;"，保险金额增长"&amp;H34&amp;"，赔款支出增长"&amp;H35&amp;"。"</f>
        <v>    6、按可比口径，行业汇总原保险保费收入同比增长13.45%，保险金额增长29.36%，赔款支出增长15.32%。</v>
      </c>
      <c r="C35" s="15"/>
      <c r="G35" s="2" t="s">
        <v>30</v>
      </c>
      <c r="H35" s="14" t="str">
        <f t="shared" si="0"/>
        <v>15.32%</v>
      </c>
      <c r="I35" s="2">
        <f>834.21</f>
        <v>834.21</v>
      </c>
      <c r="J35" s="3">
        <f>723.37</f>
        <v>723.37</v>
      </c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2022-03-01T07:20:37Z</dcterms:created>
  <dcterms:modified xsi:type="dcterms:W3CDTF">2022-03-01T07:20:41Z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