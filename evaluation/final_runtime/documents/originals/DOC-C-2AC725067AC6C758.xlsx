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5" windowHeight="9612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<sst xmlns="http://schemas.openxmlformats.org/spreadsheetml/2006/main" count="54">
  <si>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</si>
  <si>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2022年01月全国各地区原保险保费收入情况表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</si>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</sst>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>
      <alignment horizontal="left"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7" fillId="0" borderId="0">
      <alignment horizontal="left" vertical="center"/>
    </xf>
    <xf numFmtId="0" fontId="24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0">
      <alignment horizontal="left" vertical="center"/>
    </xf>
    <xf numFmtId="0" fontId="17" fillId="0" borderId="0">
      <alignment horizontal="left" vertical="center"/>
    </xf>
  </cellStyleXfs>
  <cellXfs count="18">
    <xf numFmtId="0" fontId="0" fillId="0" borderId="0" xfId="0">
      <alignment vertical="center"/>
    </xf>
    <xf numFmtId="176" fontId="1" fillId="0" borderId="0" xfId="33" applyNumberFormat="1" applyFont="1" applyFill="1" applyAlignment="1">
      <alignment horizontal="center" vertical="center"/>
    </xf>
    <xf numFmtId="176" fontId="1" fillId="0" borderId="0" xfId="33" applyNumberFormat="1" applyFont="1" applyFill="1" applyAlignment="1">
      <alignment horizontal="left" vertical="center"/>
    </xf>
    <xf numFmtId="176" fontId="1" fillId="0" borderId="0" xfId="33" applyNumberFormat="1" applyFont="1" applyFill="1">
      <alignment horizontal="left" vertical="center"/>
    </xf>
    <xf numFmtId="176" fontId="1" fillId="0" borderId="0" xfId="33" applyNumberFormat="1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center" wrapText="1"/>
    </xf>
    <xf numFmtId="176" fontId="2" fillId="0" borderId="0" xfId="0" applyNumberFormat="1" applyFont="1" applyFill="1" applyBorder="1" applyAlignment="1">
      <alignment horizontal="center" wrapText="1"/>
    </xf>
    <xf numFmtId="176" fontId="1" fillId="0" borderId="0" xfId="33" applyNumberFormat="1" applyFont="1" applyFill="1" applyAlignment="1">
      <alignment vertical="center"/>
    </xf>
    <xf numFmtId="176" fontId="1" fillId="0" borderId="0" xfId="33" applyNumberFormat="1" applyFont="1" applyFill="1" applyAlignment="1">
      <alignment vertical="center" wrapText="1"/>
    </xf>
    <xf numFmtId="176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6" fontId="1" fillId="0" borderId="0" xfId="33" applyNumberFormat="1" applyFont="1" applyFill="1" applyAlignment="1">
      <alignment horizontal="right" vertical="center" wrapText="1"/>
    </xf>
    <xf numFmtId="176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" fontId="4" fillId="0" borderId="2" xfId="51" applyNumberFormat="1" applyFont="1" applyFill="1" applyBorder="1" applyAlignment="1">
      <alignment horizontal="right" vertical="center"/>
    </xf>
    <xf numFmtId="176" fontId="3" fillId="0" borderId="0" xfId="17" applyNumberFormat="1" applyFont="1" applyFill="1" applyBorder="1" applyAlignment="1">
      <alignment horizontal="center" vertical="center" wrapText="1"/>
    </xf>
    <xf numFmtId="176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85" zoomScaleNormal="100" zoomScaleSheetLayoutView="85" workbookViewId="0">
      <selection activeCell="K13" sqref="K13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5.1759259259259" style="4" customWidth="1"/>
    <col min="9" max="16384" width="8" style="3"/>
  </cols>
  <sheetData>
    <row r="1" ht="24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6.95" customHeight="1" spans="2:8">
      <c r="B2" s="7" t="s">
        <v>2</v>
      </c>
      <c r="C2" s="1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</row>
    <row r="3" ht="21.75" customHeight="1" spans="2:8">
      <c r="B3" s="8"/>
      <c r="C3" s="9"/>
      <c r="D3" s="10"/>
      <c r="E3" s="11" t="s">
        <v>3</v>
      </c>
      <c r="F3" s="4" t="s">
        <v>2</v>
      </c>
      <c r="G3" s="12" t="s">
        <v>4</v>
      </c>
      <c r="H3" s="12"/>
    </row>
    <row r="4" ht="1.5" customHeight="1" spans="2:8">
      <c r="B4" s="7" t="s">
        <v>2</v>
      </c>
      <c r="C4" s="1" t="s">
        <v>2</v>
      </c>
      <c r="E4" s="4" t="s">
        <v>2</v>
      </c>
      <c r="F4" s="4" t="s">
        <v>2</v>
      </c>
      <c r="G4" s="4" t="s">
        <v>2</v>
      </c>
      <c r="H4" s="4" t="s">
        <v>2</v>
      </c>
    </row>
    <row r="5" s="1" customFormat="1" ht="18.95" customHeight="1" spans="3:8"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 ht="18.95" customHeight="1" spans="3:8">
      <c r="C6" s="14" t="s">
        <v>11</v>
      </c>
      <c r="D6" s="15">
        <f>9792.69</f>
        <v>9792.69</v>
      </c>
      <c r="E6" s="15">
        <f>1406.12</f>
        <v>1406.12</v>
      </c>
      <c r="F6" s="15">
        <f>7049.64</f>
        <v>7049.64</v>
      </c>
      <c r="G6" s="15">
        <f>125.41</f>
        <v>125.41</v>
      </c>
      <c r="H6" s="15">
        <f>1211.51</f>
        <v>1211.51</v>
      </c>
    </row>
    <row r="7" ht="18.95" customHeight="1" spans="3:8">
      <c r="C7" s="14" t="s">
        <v>12</v>
      </c>
      <c r="D7" s="15">
        <f>3.28</f>
        <v>3.28</v>
      </c>
      <c r="E7" s="15">
        <f>2.18</f>
        <v>2.18</v>
      </c>
      <c r="F7" s="15">
        <f>0.01</f>
        <v>0.01</v>
      </c>
      <c r="G7" s="15">
        <f>0.41</f>
        <v>0.41</v>
      </c>
      <c r="H7" s="15">
        <f>0.68</f>
        <v>0.68</v>
      </c>
    </row>
    <row r="8" ht="18.95" customHeight="1" spans="3:8">
      <c r="C8" s="14" t="s">
        <v>13</v>
      </c>
      <c r="D8" s="15">
        <f>523.78</f>
        <v>523.78</v>
      </c>
      <c r="E8" s="15">
        <f>57.63</f>
        <v>57.63</v>
      </c>
      <c r="F8" s="15">
        <f>358.8</f>
        <v>358.8</v>
      </c>
      <c r="G8" s="15">
        <f>7.07</f>
        <v>7.07</v>
      </c>
      <c r="H8" s="15">
        <f>100.28</f>
        <v>100.28</v>
      </c>
    </row>
    <row r="9" ht="18.95" customHeight="1" spans="3:8">
      <c r="C9" s="14" t="s">
        <v>14</v>
      </c>
      <c r="D9" s="15">
        <f>126.06</f>
        <v>126.06</v>
      </c>
      <c r="E9" s="15">
        <f>17.4</f>
        <v>17.4</v>
      </c>
      <c r="F9" s="15">
        <f>91.15</f>
        <v>91.15</v>
      </c>
      <c r="G9" s="15">
        <f>1.83</f>
        <v>1.83</v>
      </c>
      <c r="H9" s="15">
        <f>15.67</f>
        <v>15.67</v>
      </c>
    </row>
    <row r="10" ht="18.95" customHeight="1" spans="3:8">
      <c r="C10" s="14" t="s">
        <v>15</v>
      </c>
      <c r="D10" s="15">
        <f>405.71</f>
        <v>405.71</v>
      </c>
      <c r="E10" s="15">
        <f>54.58</f>
        <v>54.58</v>
      </c>
      <c r="F10" s="15">
        <f>294.07</f>
        <v>294.07</v>
      </c>
      <c r="G10" s="15">
        <f>4.16</f>
        <v>4.16</v>
      </c>
      <c r="H10" s="15">
        <f>52.9</f>
        <v>52.9</v>
      </c>
    </row>
    <row r="11" ht="18.95" customHeight="1" spans="3:8">
      <c r="C11" s="14" t="s">
        <v>16</v>
      </c>
      <c r="D11" s="15">
        <f>189.78</f>
        <v>189.78</v>
      </c>
      <c r="E11" s="15">
        <f>30.32</f>
        <v>30.32</v>
      </c>
      <c r="F11" s="15">
        <f>129.94</f>
        <v>129.94</v>
      </c>
      <c r="G11" s="15">
        <f>2.16</f>
        <v>2.16</v>
      </c>
      <c r="H11" s="15">
        <f>27.36</f>
        <v>27.36</v>
      </c>
    </row>
    <row r="12" ht="18.95" customHeight="1" spans="3:8">
      <c r="C12" s="14" t="s">
        <v>17</v>
      </c>
      <c r="D12" s="15">
        <f>87.43</f>
        <v>87.43</v>
      </c>
      <c r="E12" s="15">
        <f>9.85</f>
        <v>9.85</v>
      </c>
      <c r="F12" s="15">
        <f>68.74</f>
        <v>68.74</v>
      </c>
      <c r="G12" s="15">
        <f>0.58</f>
        <v>0.58</v>
      </c>
      <c r="H12" s="15">
        <f>8.26</f>
        <v>8.26</v>
      </c>
    </row>
    <row r="13" ht="18.95" customHeight="1" spans="3:8">
      <c r="C13" s="14" t="s">
        <v>18</v>
      </c>
      <c r="D13" s="15">
        <f>385.98</f>
        <v>385.98</v>
      </c>
      <c r="E13" s="15">
        <f>75.85</f>
        <v>75.85</v>
      </c>
      <c r="F13" s="15">
        <f>247.54</f>
        <v>247.54</v>
      </c>
      <c r="G13" s="15">
        <f>7.42</f>
        <v>7.42</v>
      </c>
      <c r="H13" s="15">
        <f>55.18</f>
        <v>55.18</v>
      </c>
    </row>
    <row r="14" ht="18.95" customHeight="1" spans="3:8">
      <c r="C14" s="14" t="s">
        <v>19</v>
      </c>
      <c r="D14" s="15">
        <f>921.14</f>
        <v>921.14</v>
      </c>
      <c r="E14" s="15">
        <f>124.19</f>
        <v>124.19</v>
      </c>
      <c r="F14" s="15">
        <f>703.14</f>
        <v>703.14</v>
      </c>
      <c r="G14" s="15">
        <f>10.33</f>
        <v>10.33</v>
      </c>
      <c r="H14" s="15">
        <f>83.48</f>
        <v>83.48</v>
      </c>
    </row>
    <row r="15" ht="18.95" customHeight="1" spans="3:8">
      <c r="C15" s="14" t="s">
        <v>20</v>
      </c>
      <c r="D15" s="15">
        <f>559.79</f>
        <v>559.79</v>
      </c>
      <c r="E15" s="15">
        <f>88.25</f>
        <v>88.25</v>
      </c>
      <c r="F15" s="15">
        <f>414.02</f>
        <v>414.02</v>
      </c>
      <c r="G15" s="15">
        <f>6.23</f>
        <v>6.23</v>
      </c>
      <c r="H15" s="15">
        <f>51.3</f>
        <v>51.3</v>
      </c>
    </row>
    <row r="16" ht="18.95" customHeight="1" spans="3:8">
      <c r="C16" s="14" t="s">
        <v>21</v>
      </c>
      <c r="D16" s="15">
        <f>82.12</f>
        <v>82.12</v>
      </c>
      <c r="E16" s="15">
        <f>21.43</f>
        <v>21.43</v>
      </c>
      <c r="F16" s="15">
        <f>54.52</f>
        <v>54.52</v>
      </c>
      <c r="G16" s="15">
        <f>0.94</f>
        <v>0.94</v>
      </c>
      <c r="H16" s="15">
        <f>5.23</f>
        <v>5.23</v>
      </c>
    </row>
    <row r="17" ht="18.95" customHeight="1" spans="3:8">
      <c r="C17" s="14" t="s">
        <v>22</v>
      </c>
      <c r="D17" s="15">
        <f>248.61</f>
        <v>248.61</v>
      </c>
      <c r="E17" s="15">
        <f>30.81</f>
        <v>30.81</v>
      </c>
      <c r="F17" s="15">
        <f>183.05</f>
        <v>183.05</v>
      </c>
      <c r="G17" s="15">
        <f>2.97</f>
        <v>2.97</v>
      </c>
      <c r="H17" s="15">
        <f>31.79</f>
        <v>31.79</v>
      </c>
    </row>
    <row r="18" ht="18.95" customHeight="1" spans="3:8">
      <c r="C18" s="14" t="s">
        <v>23</v>
      </c>
      <c r="D18" s="15">
        <f>52.82</f>
        <v>52.82</v>
      </c>
      <c r="E18" s="15">
        <f>8.69</f>
        <v>8.69</v>
      </c>
      <c r="F18" s="15">
        <f>38.39</f>
        <v>38.39</v>
      </c>
      <c r="G18" s="15">
        <f>0.66</f>
        <v>0.66</v>
      </c>
      <c r="H18" s="15">
        <f>5.08</f>
        <v>5.08</v>
      </c>
    </row>
    <row r="19" ht="18.95" customHeight="1" spans="3:8">
      <c r="C19" s="14" t="s">
        <v>24</v>
      </c>
      <c r="D19" s="15">
        <f>578.94</f>
        <v>578.94</v>
      </c>
      <c r="E19" s="15">
        <f>88.16</f>
        <v>88.16</v>
      </c>
      <c r="F19" s="15">
        <f>407.51</f>
        <v>407.51</v>
      </c>
      <c r="G19" s="15">
        <f>6.5</f>
        <v>6.5</v>
      </c>
      <c r="H19" s="15">
        <f>76.78</f>
        <v>76.78</v>
      </c>
    </row>
    <row r="20" ht="18.95" customHeight="1" spans="3:8">
      <c r="C20" s="14" t="s">
        <v>25</v>
      </c>
      <c r="D20" s="15">
        <f>101.26</f>
        <v>101.26</v>
      </c>
      <c r="E20" s="15">
        <f>19.42</f>
        <v>19.42</v>
      </c>
      <c r="F20" s="15">
        <f>67.45</f>
        <v>67.45</v>
      </c>
      <c r="G20" s="15">
        <f>1.26</f>
        <v>1.26</v>
      </c>
      <c r="H20" s="15">
        <f>13.13</f>
        <v>13.13</v>
      </c>
    </row>
    <row r="21" ht="18.95" customHeight="1" spans="3:8">
      <c r="C21" s="14" t="s">
        <v>26</v>
      </c>
      <c r="D21" s="15">
        <f>885.5</f>
        <v>885.5</v>
      </c>
      <c r="E21" s="15">
        <f>132.61</f>
        <v>132.61</v>
      </c>
      <c r="F21" s="15">
        <f>626.16</f>
        <v>626.16</v>
      </c>
      <c r="G21" s="15">
        <f>15.18</f>
        <v>15.18</v>
      </c>
      <c r="H21" s="15">
        <f>111.55</f>
        <v>111.55</v>
      </c>
    </row>
    <row r="22" ht="18.95" customHeight="1" spans="3:8">
      <c r="C22" s="14" t="s">
        <v>27</v>
      </c>
      <c r="D22" s="15">
        <f>255.42</f>
        <v>255.42</v>
      </c>
      <c r="E22" s="15">
        <f>45.87</f>
        <v>45.87</v>
      </c>
      <c r="F22" s="15">
        <f>162.1</f>
        <v>162.1</v>
      </c>
      <c r="G22" s="15">
        <f>4.98</f>
        <v>4.98</v>
      </c>
      <c r="H22" s="15">
        <f>42.48</f>
        <v>42.48</v>
      </c>
    </row>
    <row r="23" ht="18.95" customHeight="1" spans="3:8">
      <c r="C23" s="14" t="s">
        <v>28</v>
      </c>
      <c r="D23" s="15">
        <f>40.19</f>
        <v>40.19</v>
      </c>
      <c r="E23" s="15">
        <f>9.69</f>
        <v>9.69</v>
      </c>
      <c r="F23" s="15">
        <f>26.48</f>
        <v>26.48</v>
      </c>
      <c r="G23" s="15">
        <f>0.54</f>
        <v>0.54</v>
      </c>
      <c r="H23" s="15">
        <f>3.49</f>
        <v>3.49</v>
      </c>
    </row>
    <row r="24" ht="18.95" customHeight="1" spans="3:8">
      <c r="C24" s="14" t="s">
        <v>29</v>
      </c>
      <c r="D24" s="15">
        <f>232.78</f>
        <v>232.78</v>
      </c>
      <c r="E24" s="15">
        <f>25.43</f>
        <v>25.43</v>
      </c>
      <c r="F24" s="15">
        <f>177.93</f>
        <v>177.93</v>
      </c>
      <c r="G24" s="15">
        <f>2.43</f>
        <v>2.43</v>
      </c>
      <c r="H24" s="15">
        <f>26.98</f>
        <v>26.98</v>
      </c>
    </row>
    <row r="25" ht="18.95" customHeight="1" spans="3:8">
      <c r="C25" s="14" t="s">
        <v>30</v>
      </c>
      <c r="D25" s="15">
        <f>146.97</f>
        <v>146.97</v>
      </c>
      <c r="E25" s="15">
        <f>20.18</f>
        <v>20.18</v>
      </c>
      <c r="F25" s="15">
        <f>106.58</f>
        <v>106.58</v>
      </c>
      <c r="G25" s="15">
        <f>1.95</f>
        <v>1.95</v>
      </c>
      <c r="H25" s="15">
        <f>18.27</f>
        <v>18.27</v>
      </c>
    </row>
    <row r="26" ht="18.95" customHeight="1" spans="3:8">
      <c r="C26" s="14" t="s">
        <v>31</v>
      </c>
      <c r="D26" s="15">
        <f>223.03</f>
        <v>223.03</v>
      </c>
      <c r="E26" s="15">
        <f>17.6</f>
        <v>17.6</v>
      </c>
      <c r="F26" s="15">
        <f>176.02</f>
        <v>176.02</v>
      </c>
      <c r="G26" s="15">
        <f>1.82</f>
        <v>1.82</v>
      </c>
      <c r="H26" s="15">
        <f>27.59</f>
        <v>27.59</v>
      </c>
    </row>
    <row r="27" ht="18.95" customHeight="1" spans="3:8">
      <c r="C27" s="14" t="s">
        <v>32</v>
      </c>
      <c r="D27" s="15">
        <f>297.92</f>
        <v>297.92</v>
      </c>
      <c r="E27" s="15">
        <f>52.96</f>
        <v>52.96</v>
      </c>
      <c r="F27" s="15">
        <f>201.5</f>
        <v>201.5</v>
      </c>
      <c r="G27" s="15">
        <f>4.49</f>
        <v>4.49</v>
      </c>
      <c r="H27" s="15">
        <f>38.97</f>
        <v>38.97</v>
      </c>
    </row>
    <row r="28" ht="18.95" customHeight="1" spans="3:8">
      <c r="C28" s="14" t="s">
        <v>33</v>
      </c>
      <c r="D28" s="15">
        <f>204.03</f>
        <v>204.03</v>
      </c>
      <c r="E28" s="15">
        <f>31.21</f>
        <v>31.21</v>
      </c>
      <c r="F28" s="15">
        <f>154.84</f>
        <v>154.84</v>
      </c>
      <c r="G28" s="15">
        <f>2.17</f>
        <v>2.17</v>
      </c>
      <c r="H28" s="15">
        <f>15.81</f>
        <v>15.81</v>
      </c>
    </row>
    <row r="29" ht="18.95" customHeight="1" spans="3:8">
      <c r="C29" s="14" t="s">
        <v>34</v>
      </c>
      <c r="D29" s="15">
        <f>512.37</f>
        <v>512.37</v>
      </c>
      <c r="E29" s="15">
        <f>68.77</f>
        <v>68.77</v>
      </c>
      <c r="F29" s="15">
        <f>386.34</f>
        <v>386.34</v>
      </c>
      <c r="G29" s="15">
        <f>5.03</f>
        <v>5.03</v>
      </c>
      <c r="H29" s="15">
        <f>52.24</f>
        <v>52.24</v>
      </c>
    </row>
    <row r="30" ht="18.95" customHeight="1" spans="3:8">
      <c r="C30" s="14" t="s">
        <v>35</v>
      </c>
      <c r="D30" s="15">
        <f>454.17</f>
        <v>454.17</v>
      </c>
      <c r="E30" s="15">
        <f>46.54</f>
        <v>46.54</v>
      </c>
      <c r="F30" s="15">
        <f>343.92</f>
        <v>343.92</v>
      </c>
      <c r="G30" s="15">
        <f>5.13</f>
        <v>5.13</v>
      </c>
      <c r="H30" s="15">
        <f>58.59</f>
        <v>58.59</v>
      </c>
    </row>
    <row r="31" ht="18.95" customHeight="1" spans="3:8">
      <c r="C31" s="14" t="s">
        <v>36</v>
      </c>
      <c r="D31" s="15">
        <f>347.35</f>
        <v>347.35</v>
      </c>
      <c r="E31" s="15">
        <f>47.38</f>
        <v>47.38</v>
      </c>
      <c r="F31" s="15">
        <f>254.46</f>
        <v>254.46</v>
      </c>
      <c r="G31" s="15">
        <f>3.85</f>
        <v>3.85</v>
      </c>
      <c r="H31" s="15">
        <f>41.66</f>
        <v>41.66</v>
      </c>
    </row>
    <row r="32" ht="18.95" customHeight="1" spans="3:8">
      <c r="C32" s="14" t="s">
        <v>37</v>
      </c>
      <c r="D32" s="15">
        <f>242.16</f>
        <v>242.16</v>
      </c>
      <c r="E32" s="15">
        <f>26.72</f>
        <v>26.72</v>
      </c>
      <c r="F32" s="15">
        <f>179.12</f>
        <v>179.12</v>
      </c>
      <c r="G32" s="15">
        <f>2.56</f>
        <v>2.56</v>
      </c>
      <c r="H32" s="15">
        <f>33.77</f>
        <v>33.77</v>
      </c>
    </row>
    <row r="33" ht="18.95" customHeight="1" spans="3:8">
      <c r="C33" s="14" t="s">
        <v>38</v>
      </c>
      <c r="D33" s="15">
        <f>500.05</f>
        <v>500.05</v>
      </c>
      <c r="E33" s="15">
        <f>63.67</f>
        <v>63.67</v>
      </c>
      <c r="F33" s="15">
        <f>378.19</f>
        <v>378.19</v>
      </c>
      <c r="G33" s="15">
        <f>6.32</f>
        <v>6.32</v>
      </c>
      <c r="H33" s="15">
        <f>51.87</f>
        <v>51.87</v>
      </c>
    </row>
    <row r="34" ht="18.95" customHeight="1" spans="3:8">
      <c r="C34" s="14" t="s">
        <v>39</v>
      </c>
      <c r="D34" s="15">
        <f>96.83</f>
        <v>96.83</v>
      </c>
      <c r="E34" s="15">
        <f>30.44</f>
        <v>30.44</v>
      </c>
      <c r="F34" s="15">
        <f>47.62</f>
        <v>47.62</v>
      </c>
      <c r="G34" s="15">
        <f>2.14</f>
        <v>2.14</v>
      </c>
      <c r="H34" s="15">
        <f>16.63</f>
        <v>16.63</v>
      </c>
    </row>
    <row r="35" ht="18.95" customHeight="1" spans="3:8">
      <c r="C35" s="14" t="s">
        <v>40</v>
      </c>
      <c r="D35" s="15">
        <f>153.74</f>
        <v>153.74</v>
      </c>
      <c r="E35" s="15">
        <f>32.81</f>
        <v>32.81</v>
      </c>
      <c r="F35" s="15">
        <f>91.36</f>
        <v>91.36</v>
      </c>
      <c r="G35" s="15">
        <f>3.14</f>
        <v>3.14</v>
      </c>
      <c r="H35" s="15">
        <f>26.43</f>
        <v>26.43</v>
      </c>
    </row>
    <row r="36" ht="18.95" customHeight="1" spans="3:8">
      <c r="C36" s="14" t="s">
        <v>41</v>
      </c>
      <c r="D36" s="15">
        <f>6.26</f>
        <v>6.26</v>
      </c>
      <c r="E36" s="15">
        <f>3.25</f>
        <v>3.25</v>
      </c>
      <c r="F36" s="15">
        <f>2.62</f>
        <v>2.62</v>
      </c>
      <c r="G36" s="15">
        <f>0.18</f>
        <v>0.18</v>
      </c>
      <c r="H36" s="15">
        <f>0.2</f>
        <v>0.2</v>
      </c>
    </row>
    <row r="37" ht="18.95" customHeight="1" spans="3:8">
      <c r="C37" s="14" t="s">
        <v>42</v>
      </c>
      <c r="D37" s="15">
        <f>247.07</f>
        <v>247.07</v>
      </c>
      <c r="E37" s="15">
        <f>25.91</f>
        <v>25.91</v>
      </c>
      <c r="F37" s="15">
        <f>185.43</f>
        <v>185.43</v>
      </c>
      <c r="G37" s="15">
        <f>2.24</f>
        <v>2.24</v>
      </c>
      <c r="H37" s="15">
        <f>33.5</f>
        <v>33.5</v>
      </c>
    </row>
    <row r="38" ht="18.95" customHeight="1" spans="3:8">
      <c r="C38" s="14" t="s">
        <v>43</v>
      </c>
      <c r="D38" s="15">
        <f>130.17</f>
        <v>130.17</v>
      </c>
      <c r="E38" s="15">
        <f>13.41</f>
        <v>13.41</v>
      </c>
      <c r="F38" s="15">
        <f>96.98</f>
        <v>96.98</v>
      </c>
      <c r="G38" s="15">
        <f>1.35</f>
        <v>1.35</v>
      </c>
      <c r="H38" s="15">
        <f>18.44</f>
        <v>18.44</v>
      </c>
    </row>
    <row r="39" ht="18.95" customHeight="1" spans="3:8">
      <c r="C39" s="14" t="s">
        <v>44</v>
      </c>
      <c r="D39" s="15">
        <f>25.67</f>
        <v>25.67</v>
      </c>
      <c r="E39" s="15">
        <f>5.87</f>
        <v>5.87</v>
      </c>
      <c r="F39" s="15">
        <f>17.5</f>
        <v>17.5</v>
      </c>
      <c r="G39" s="15">
        <f>0.35</f>
        <v>0.35</v>
      </c>
      <c r="H39" s="15">
        <f>1.94</f>
        <v>1.94</v>
      </c>
    </row>
    <row r="40" ht="18.95" customHeight="1" spans="3:8">
      <c r="C40" s="14" t="s">
        <v>45</v>
      </c>
      <c r="D40" s="15">
        <f>48.35</f>
        <v>48.35</v>
      </c>
      <c r="E40" s="15">
        <f>7.01</f>
        <v>7.01</v>
      </c>
      <c r="F40" s="15">
        <f>36.45</f>
        <v>36.45</v>
      </c>
      <c r="G40" s="15">
        <f>0.8</f>
        <v>0.8</v>
      </c>
      <c r="H40" s="15">
        <f>4.09</f>
        <v>4.09</v>
      </c>
    </row>
    <row r="41" ht="18.95" customHeight="1" spans="3:8">
      <c r="C41" s="14" t="s">
        <v>46</v>
      </c>
      <c r="D41" s="15">
        <f>150.27</f>
        <v>150.27</v>
      </c>
      <c r="E41" s="15">
        <f>20.05</f>
        <v>20.05</v>
      </c>
      <c r="F41" s="15">
        <f>110.14</f>
        <v>110.14</v>
      </c>
      <c r="G41" s="15">
        <f>1.7</f>
        <v>1.7</v>
      </c>
      <c r="H41" s="15">
        <f>18.38</f>
        <v>18.38</v>
      </c>
    </row>
    <row r="42" ht="18.95" customHeight="1" spans="3:8">
      <c r="C42" s="14" t="s">
        <v>47</v>
      </c>
      <c r="D42" s="15">
        <f>140.21</f>
        <v>140.21</v>
      </c>
      <c r="E42" s="15">
        <f>20.48</f>
        <v>20.48</v>
      </c>
      <c r="F42" s="15">
        <f>101.59</f>
        <v>101.59</v>
      </c>
      <c r="G42" s="15">
        <f>1.59</f>
        <v>1.59</v>
      </c>
      <c r="H42" s="15">
        <f>16.55</f>
        <v>16.55</v>
      </c>
    </row>
    <row r="43" ht="18.95" customHeight="1" spans="3:8">
      <c r="C43" s="14" t="s">
        <v>48</v>
      </c>
      <c r="D43" s="15">
        <f>185.48</f>
        <v>185.48</v>
      </c>
      <c r="E43" s="15">
        <f>29.51</f>
        <v>29.51</v>
      </c>
      <c r="F43" s="15">
        <f>128</f>
        <v>128</v>
      </c>
      <c r="G43" s="15">
        <f>2.98</f>
        <v>2.98</v>
      </c>
      <c r="H43" s="15">
        <f>24.99</f>
        <v>24.99</v>
      </c>
    </row>
    <row r="44" ht="11" customHeight="1" spans="3:8">
      <c r="C44" s="16"/>
      <c r="D44" s="17"/>
      <c r="E44" s="17"/>
      <c r="F44" s="17"/>
      <c r="G44" s="17"/>
      <c r="H44" s="17"/>
    </row>
    <row r="45" s="2" customFormat="1" ht="45" customHeight="1" spans="3:8">
      <c r="C45" s="8" t="s">
        <v>49</v>
      </c>
      <c r="D45" s="8"/>
      <c r="E45" s="8"/>
      <c r="F45" s="8"/>
      <c r="G45" s="8"/>
      <c r="H45" s="8"/>
    </row>
    <row r="46" s="2" customFormat="1" ht="33" customHeight="1" spans="1:8">
      <c r="A46" s="7"/>
      <c r="B46" s="7"/>
      <c r="C46" s="8" t="s">
        <v>50</v>
      </c>
      <c r="D46" s="8"/>
      <c r="E46" s="8"/>
      <c r="F46" s="8"/>
      <c r="G46" s="8"/>
      <c r="H46" s="8"/>
    </row>
    <row r="47" s="2" customFormat="1" ht="33" customHeight="1" spans="1:8">
      <c r="A47" s="7"/>
      <c r="B47" s="7"/>
      <c r="C47" s="7" t="s">
        <v>51</v>
      </c>
      <c r="D47" s="7"/>
      <c r="E47" s="7"/>
      <c r="F47" s="7"/>
      <c r="G47" s="7"/>
      <c r="H47" s="7"/>
    </row>
    <row r="48" ht="33" customHeight="1" spans="3:8">
      <c r="C48" s="8" t="s">
        <v>52</v>
      </c>
      <c r="D48" s="8"/>
      <c r="E48" s="8"/>
      <c r="F48" s="8"/>
      <c r="G48" s="8"/>
      <c r="H48" s="8"/>
    </row>
    <row r="49" ht="46" customHeight="1" spans="3:8">
      <c r="C49" s="8" t="s">
        <v>53</v>
      </c>
      <c r="D49" s="8"/>
      <c r="E49" s="8"/>
      <c r="F49" s="8"/>
      <c r="G49" s="8"/>
      <c r="H49" s="8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2022-03-01T07:21:08Z</dcterms:created>
  <dcterms:modified xsi:type="dcterms:W3CDTF">2022-03-01T07:21:14Z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