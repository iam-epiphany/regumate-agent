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保险业经营数据（月度）" sheetId="1" r:id="rId1"/>
  </sheets>
  <definedNames>
    <definedName name="_xlnm.Print_Area" localSheetId="0">'保险业经营数据（月度）'!$B$1:$C$27</definedName>
  </definedNames>
  <calcPr calcId="144525"/>
</workbook>
</file>

<file path=xl/sharedStrings.xml><?xml version="1.0" encoding="utf-8"?>
<sst xmlns="http://schemas.openxmlformats.org/spreadsheetml/2006/main" count="25">
  <si>
    <t xml:space="preserve"> 2023年02月保险业经营情况表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</si>
  <si>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</si>
  <si>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</si>
  <si>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</si>
  <si>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</si>
  <si>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</si>
  <si>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</si>
  <si>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</si>
  <si>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</si>
  <si>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</si>
  <si>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</si>
  <si>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</si>
  <si>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</si>
  <si>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</si>
  <si>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</si>
  <si>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</si>
  <si>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</si>
  <si>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</si>
  <si>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</si>
  <si>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</si>
  <si>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</si>
  <si>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</si>
  <si>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</si>
  <si>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</si>
  <si>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9、按可比口径，行业汇总原保险保费收入同比增长8.37%，保险金额下降15.17%，原保险赔付支出增长8.37%。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</si>
</sst>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176" formatCode="0.00_ "/>
    <numFmt numFmtId="177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name val="仿宋_GB2312"/>
      <charset val="134"/>
    </font>
    <font>
      <b/>
      <sz val="16"/>
      <name val="仿宋_GB2312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8" fillId="0" borderId="0"/>
    <xf numFmtId="0" fontId="29" fillId="0" borderId="0">
      <alignment horizontal="left" vertical="center"/>
    </xf>
  </cellStyleXfs>
  <cellXfs count="25">
    <xf numFmtId="0" fontId="0" fillId="0" borderId="0" xfId="0">
      <alignment vertical="center"/>
    </xf>
    <xf numFmtId="0" fontId="1" fillId="2" borderId="0" xfId="49" applyFont="1" applyFill="1" applyAlignment="1">
      <alignment vertical="center"/>
    </xf>
    <xf numFmtId="0" fontId="1" fillId="2" borderId="0" xfId="49" applyFont="1" applyFill="1" applyAlignment="1">
      <alignment horizontal="left" vertical="center"/>
    </xf>
    <xf numFmtId="0" fontId="1" fillId="2" borderId="0" xfId="49" applyFont="1" applyFill="1"/>
    <xf numFmtId="0" fontId="1" fillId="2" borderId="0" xfId="49" applyFont="1" applyFill="1" applyAlignment="1"/>
    <xf numFmtId="0" fontId="2" fillId="2" borderId="0" xfId="49" applyFont="1" applyFill="1" applyAlignment="1">
      <alignment horizontal="center" wrapText="1"/>
    </xf>
    <xf numFmtId="0" fontId="2" fillId="2" borderId="0" xfId="49" applyFont="1" applyFill="1" applyBorder="1" applyAlignment="1">
      <alignment horizontal="center" wrapText="1"/>
    </xf>
    <xf numFmtId="0" fontId="3" fillId="2" borderId="0" xfId="49" applyFont="1" applyFill="1" applyAlignment="1">
      <alignment horizontal="center" wrapText="1"/>
    </xf>
    <xf numFmtId="0" fontId="4" fillId="2" borderId="1" xfId="49" applyFont="1" applyFill="1" applyBorder="1" applyAlignment="1">
      <alignment wrapText="1"/>
    </xf>
    <xf numFmtId="0" fontId="4" fillId="2" borderId="1" xfId="49" applyFont="1" applyFill="1" applyBorder="1" applyAlignment="1">
      <alignment horizontal="right" wrapText="1"/>
    </xf>
    <xf numFmtId="0" fontId="5" fillId="2" borderId="2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vertical="center" wrapText="1"/>
    </xf>
    <xf numFmtId="177" fontId="1" fillId="0" borderId="2" xfId="49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49" applyFont="1" applyFill="1" applyAlignment="1">
      <alignment horizontal="left" vertical="center" wrapText="1"/>
    </xf>
    <xf numFmtId="0" fontId="1" fillId="2" borderId="0" xfId="49" applyFont="1" applyFill="1" applyBorder="1" applyAlignment="1">
      <alignment horizontal="left" wrapText="1"/>
    </xf>
    <xf numFmtId="0" fontId="6" fillId="2" borderId="0" xfId="49" applyFont="1" applyFill="1" applyAlignment="1">
      <alignment horizontal="left" vertical="center"/>
    </xf>
    <xf numFmtId="0" fontId="6" fillId="2" borderId="0" xfId="49" applyFont="1" applyFill="1" applyAlignment="1">
      <alignment vertical="center"/>
    </xf>
    <xf numFmtId="0" fontId="1" fillId="2" borderId="0" xfId="49" applyFont="1" applyFill="1" applyBorder="1" applyAlignment="1">
      <alignment horizontal="left" vertical="top" wrapText="1"/>
    </xf>
    <xf numFmtId="0" fontId="1" fillId="2" borderId="0" xfId="49" applyFont="1" applyFill="1" applyBorder="1" applyAlignment="1">
      <alignment horizontal="left"/>
    </xf>
    <xf numFmtId="0" fontId="1" fillId="2" borderId="0" xfId="49" applyFont="1" applyFill="1" applyBorder="1" applyAlignment="1"/>
    <xf numFmtId="0" fontId="6" fillId="2" borderId="0" xfId="49" applyFont="1" applyFill="1" applyAlignment="1">
      <alignment vertical="center" wrapText="1"/>
    </xf>
    <xf numFmtId="0" fontId="3" fillId="2" borderId="0" xfId="49" applyFont="1" applyFill="1" applyBorder="1" applyAlignment="1">
      <alignment vertical="center" wrapText="1"/>
    </xf>
    <xf numFmtId="176" fontId="3" fillId="2" borderId="0" xfId="50" applyNumberFormat="1" applyFont="1" applyFill="1" applyBorder="1" applyAlignment="1">
      <alignment vertical="center" wrapText="1"/>
    </xf>
    <xf numFmtId="0" fontId="7" fillId="2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E5" sqref="E5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f>14045.73</f>
        <v>14045.73</v>
      </c>
    </row>
    <row r="6" spans="2:3">
      <c r="B6" s="11" t="s">
        <v>5</v>
      </c>
      <c r="C6" s="12">
        <f>2270.2</f>
        <v>2270.2</v>
      </c>
    </row>
    <row r="7" spans="2:3">
      <c r="B7" s="11" t="s">
        <v>6</v>
      </c>
      <c r="C7" s="12">
        <f>11775.53</f>
        <v>11775.53</v>
      </c>
    </row>
    <row r="8" spans="2:3">
      <c r="B8" s="11" t="s">
        <v>7</v>
      </c>
      <c r="C8" s="12">
        <f>2093.68+1220.47</f>
        <v>3314.15</v>
      </c>
    </row>
    <row r="9" spans="2:3">
      <c r="B9" s="11" t="s">
        <v>5</v>
      </c>
      <c r="C9" s="12">
        <f>1220.47</f>
        <v>1220.47</v>
      </c>
    </row>
    <row r="10" spans="2:3">
      <c r="B10" s="11" t="s">
        <v>6</v>
      </c>
      <c r="C10" s="12">
        <f>2093.68</f>
        <v>2093.68</v>
      </c>
    </row>
    <row r="11" spans="2:3">
      <c r="B11" s="11" t="s">
        <v>8</v>
      </c>
      <c r="C11" s="12">
        <v>256762.20899924</v>
      </c>
    </row>
    <row r="12" spans="2:3">
      <c r="B12" s="11" t="s">
        <v>9</v>
      </c>
      <c r="C12" s="12">
        <v>27957.95</v>
      </c>
    </row>
    <row r="13" spans="2:3">
      <c r="B13" s="13" t="s">
        <v>10</v>
      </c>
      <c r="C13" s="12">
        <v>105860.45794769</v>
      </c>
    </row>
    <row r="14" spans="2:3">
      <c r="B14" s="11" t="s">
        <v>11</v>
      </c>
      <c r="C14" s="12">
        <v>33693.81075091</v>
      </c>
    </row>
    <row r="15" spans="2:3">
      <c r="B15" s="11" t="s">
        <v>12</v>
      </c>
      <c r="C15" s="12">
        <v>279067.64</v>
      </c>
    </row>
    <row r="16" spans="2:3">
      <c r="B16" s="11" t="s">
        <v>13</v>
      </c>
      <c r="C16" s="12">
        <v>6637.63</v>
      </c>
    </row>
    <row r="17" spans="2:3">
      <c r="B17" s="11" t="s">
        <v>14</v>
      </c>
      <c r="C17" s="12">
        <v>1060.34</v>
      </c>
    </row>
    <row r="18" spans="2:3">
      <c r="B18" s="11" t="s">
        <v>15</v>
      </c>
      <c r="C18" s="12">
        <v>28169.46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2"/>
      <c r="C28" s="23"/>
    </row>
    <row r="29" spans="2:3">
      <c r="B29" s="22"/>
      <c r="C29" s="23"/>
    </row>
    <row r="30" spans="3:3">
      <c r="C30" s="24"/>
    </row>
  </sheetData>
  <mergeCells count="14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2023-03-29T08:03:31Z</dcterms:created>
  <dcterms:modified xsi:type="dcterms:W3CDTF">2023-03-29T08:03:46Z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